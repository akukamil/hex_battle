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bdullaevKU\Documents\GitHub\hex_battle\"/>
    </mc:Choice>
  </mc:AlternateContent>
  <xr:revisionPtr revIDLastSave="0" documentId="13_ncr:1_{3D19F299-2346-4307-9C12-F6EDB66DF8F2}" xr6:coauthVersionLast="37" xr6:coauthVersionMax="45" xr10:uidLastSave="{00000000-0000-0000-0000-000000000000}"/>
  <bookViews>
    <workbookView xWindow="-120" yWindow="-120" windowWidth="20730" windowHeight="11160" tabRatio="642" xr2:uid="{00000000-000D-0000-FFFF-FFFF00000000}"/>
  </bookViews>
  <sheets>
    <sheet name="1" sheetId="7" r:id="rId1"/>
    <sheet name="GRID" sheetId="8" r:id="rId2"/>
    <sheet name="L0" sheetId="9" r:id="rId3"/>
    <sheet name="L1" sheetId="11" r:id="rId4"/>
    <sheet name="L2" sheetId="12" r:id="rId5"/>
    <sheet name="L3" sheetId="13" r:id="rId6"/>
  </sheets>
  <functionGroups builtInGroupCount="19"/>
  <calcPr calcId="17902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67" i="8" l="1"/>
  <c r="AU70" i="8"/>
  <c r="AU67" i="8"/>
  <c r="AA61" i="8"/>
  <c r="AU73" i="8" l="1"/>
  <c r="AU76" i="8" s="1"/>
  <c r="AU79" i="8" s="1"/>
  <c r="AU82" i="8" s="1"/>
  <c r="AU85" i="8" s="1"/>
  <c r="AU88" i="8" s="1"/>
  <c r="AU91" i="8" s="1"/>
  <c r="AK91" i="8"/>
  <c r="AA58" i="8"/>
  <c r="AK70" i="8" l="1"/>
  <c r="AK88" i="8" s="1"/>
  <c r="AK73" i="8" l="1"/>
  <c r="AK85" i="8" l="1"/>
  <c r="AK76" i="8"/>
  <c r="AK82" i="8" l="1"/>
  <c r="AK79" i="8"/>
</calcChain>
</file>

<file path=xl/sharedStrings.xml><?xml version="1.0" encoding="utf-8"?>
<sst xmlns="http://schemas.openxmlformats.org/spreadsheetml/2006/main" count="5" uniqueCount="5">
  <si>
    <t>tile_size</t>
  </si>
  <si>
    <t>tile_width</t>
  </si>
  <si>
    <t>начало</t>
  </si>
  <si>
    <t>Топ</t>
  </si>
  <si>
    <t>half_width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</si>
</sst>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D7EE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5" xfId="0" applyBorder="1"/>
    <xf numFmtId="0" fontId="2" fillId="0" borderId="0" xfId="0" applyFont="1"/>
    <xf numFmtId="0" fontId="2" fillId="0" borderId="0" xfId="0" applyFont="1" applyFill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0" xfId="0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8" fontId="0" fillId="2" borderId="0" xfId="0" applyNumberFormat="1" applyFill="1" applyBorder="1" applyAlignment="1">
      <alignment horizontal="center" vertic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colors>
    <mruColors>
      <color rgb="FFFF8989"/>
      <color rgb="FF820000"/>
      <color rgb="FFB6B6B6"/>
      <color rgb="FFEEEEEE"/>
      <color rgb="FFA8C2D0"/>
      <color rgb="FF98B7C8"/>
      <color rgb="FFF09252"/>
      <color rgb="FFB8B400"/>
      <color rgb="FFD2CD00"/>
      <color rgb="FFE7E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9059392"/>
        <c:axId val="1517808768"/>
      </c:barChart>
      <c:catAx>
        <c:axId val="1379059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808768"/>
        <c:crosses val="autoZero"/>
        <c:auto val="1"/>
        <c:lblAlgn val="ctr"/>
        <c:lblOffset val="100"/>
        <c:noMultiLvlLbl val="0"/>
      </c:catAx>
      <c:valAx>
        <c:axId val="15178087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790593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3416288"/>
        <c:axId val="1517795456"/>
      </c:barChart>
      <c:catAx>
        <c:axId val="1203416288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795456"/>
        <c:crosses val="autoZero"/>
        <c:auto val="1"/>
        <c:lblAlgn val="ctr"/>
        <c:lblOffset val="100"/>
        <c:noMultiLvlLbl val="0"/>
      </c:catAx>
      <c:valAx>
        <c:axId val="15177954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03416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801408"/>
        <c:axId val="1517796704"/>
      </c:barChart>
      <c:catAx>
        <c:axId val="1201801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796704"/>
        <c:crosses val="autoZero"/>
        <c:auto val="1"/>
        <c:lblAlgn val="ctr"/>
        <c:lblOffset val="100"/>
        <c:noMultiLvlLbl val="0"/>
      </c:catAx>
      <c:valAx>
        <c:axId val="15177967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018014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0502128"/>
        <c:axId val="1517798784"/>
      </c:barChart>
      <c:catAx>
        <c:axId val="1350502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798784"/>
        <c:crosses val="autoZero"/>
        <c:auto val="1"/>
        <c:lblAlgn val="ctr"/>
        <c:lblOffset val="100"/>
        <c:noMultiLvlLbl val="0"/>
      </c:catAx>
      <c:valAx>
        <c:axId val="15177987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50502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svg"/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07/relationships/hdphoto" Target="../media/hdphoto1.wdp"/><Relationship Id="rId5" Type="http://schemas.openxmlformats.org/officeDocument/2006/relationships/image" Target="../media/image1.png"/><Relationship Id="rId4" Type="http://schemas.openxmlformats.org/officeDocument/2006/relationships/chart" Target="../charts/chart4.xml"/><Relationship Id="rId9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0</xdr:rowOff>
    </xdr:from>
    <xdr:to>
      <xdr:col>22</xdr:col>
      <xdr:colOff>0</xdr:colOff>
      <xdr:row>13</xdr:row>
      <xdr:rowOff>47625</xdr:rowOff>
    </xdr:to>
    <xdr:sp macro="" textlink="">
      <xdr:nvSpPr>
        <xdr:cNvPr id="145" name="grid_cont#block" descr="objects[obj_name]=new PIXI.Container();&#10;objects[obj_name].visible=true;&#10;&#10;&#10;#for (let i=0;i&lt;objects.hex_cells.length;i++)&#10;objects[obj_name].addChild(objects.hex_cells[i]);&#10;objects[obj_name].addChild(objects.hex_selected);&#10;objects[obj_name].addChild(objects.icon_fly);&#10;app.stage.addChild(objects[obj_name]);#png#1" title="checkers#array#24">
          <a:extLst>
            <a:ext uri="{FF2B5EF4-FFF2-40B4-BE49-F238E27FC236}">
              <a16:creationId xmlns:a16="http://schemas.microsoft.com/office/drawing/2014/main" id="{99D53DCC-6897-406D-B671-A1B71B3352BE}"/>
            </a:ext>
          </a:extLst>
        </xdr:cNvPr>
        <xdr:cNvSpPr/>
      </xdr:nvSpPr>
      <xdr:spPr>
        <a:xfrm>
          <a:off x="762000" y="762000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СЕТКА КОНТЕЙНЕР</a:t>
          </a:r>
        </a:p>
      </xdr:txBody>
    </xdr:sp>
    <xdr:clientData/>
  </xdr:twoCellAnchor>
  <xdr:twoCellAnchor>
    <xdr:from>
      <xdr:col>72</xdr:col>
      <xdr:colOff>0</xdr:colOff>
      <xdr:row>0</xdr:row>
      <xdr:rowOff>0</xdr:rowOff>
    </xdr:from>
    <xdr:to>
      <xdr:col>94</xdr:col>
      <xdr:colOff>0</xdr:colOff>
      <xdr:row>3</xdr:row>
      <xdr:rowOff>0</xdr:rowOff>
    </xdr:to>
    <xdr:sp macro="[0]!only_all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7700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все</a:t>
          </a:r>
        </a:p>
      </xdr:txBody>
    </xdr:sp>
    <xdr:clientData/>
  </xdr:twoCellAnchor>
  <xdr:twoCellAnchor>
    <xdr:from>
      <xdr:col>95</xdr:col>
      <xdr:colOff>0</xdr:colOff>
      <xdr:row>0</xdr:row>
      <xdr:rowOff>0</xdr:rowOff>
    </xdr:from>
    <xdr:to>
      <xdr:col>121</xdr:col>
      <xdr:colOff>0</xdr:colOff>
      <xdr:row>3</xdr:row>
      <xdr:rowOff>0</xdr:rowOff>
    </xdr:to>
    <xdr:sp macro="[0]!ЭтаКнига.assign_f3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667750" y="0"/>
          <a:ext cx="2476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ВКЛЮЧИТЬ</a:t>
          </a:r>
          <a:r>
            <a:rPr lang="ru-RU" sz="2000" baseline="0"/>
            <a:t> </a:t>
          </a:r>
          <a:r>
            <a:rPr lang="en-US" sz="2000" baseline="0"/>
            <a:t>F3</a:t>
          </a:r>
          <a:endParaRPr lang="ru-RU" sz="2000"/>
        </a:p>
      </xdr:txBody>
    </xdr:sp>
    <xdr:clientData/>
  </xdr:twoCellAnchor>
  <xdr:twoCellAnchor>
    <xdr:from>
      <xdr:col>122</xdr:col>
      <xdr:colOff>0</xdr:colOff>
      <xdr:row>0</xdr:row>
      <xdr:rowOff>0</xdr:rowOff>
    </xdr:from>
    <xdr:to>
      <xdr:col>144</xdr:col>
      <xdr:colOff>0</xdr:colOff>
      <xdr:row>3</xdr:row>
      <xdr:rowOff>0</xdr:rowOff>
    </xdr:to>
    <xdr:sp macro="[0]!only_code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23950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только код</a:t>
          </a:r>
        </a:p>
      </xdr:txBody>
    </xdr:sp>
    <xdr:clientData/>
  </xdr:twoCellAnchor>
  <xdr:twoCellAnchor>
    <xdr:from>
      <xdr:col>145</xdr:col>
      <xdr:colOff>0</xdr:colOff>
      <xdr:row>0</xdr:row>
      <xdr:rowOff>0</xdr:rowOff>
    </xdr:from>
    <xdr:to>
      <xdr:col>158</xdr:col>
      <xdr:colOff>0</xdr:colOff>
      <xdr:row>3</xdr:row>
      <xdr:rowOff>0</xdr:rowOff>
    </xdr:to>
    <xdr:sp macro="[0]!ЭтаКнига.assign_f6" textlink="">
      <xdr:nvSpPr>
        <xdr:cNvPr id="72" name="Прямоугольник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13430250" y="0"/>
          <a:ext cx="1238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ЦВЕТ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28</xdr:col>
      <xdr:colOff>0</xdr:colOff>
      <xdr:row>5</xdr:row>
      <xdr:rowOff>0</xdr:rowOff>
    </xdr:to>
    <xdr:sp macro="" textlink="">
      <xdr:nvSpPr>
        <xdr:cNvPr id="1145" name="common_code#block" descr="document.body.style.backgroundColor = 'rgb(70, 70, 70)';&#10;app.renderer.backgroundColor = $bcg_col;##png#1" title="mini_cards#array#15">
          <a:extLst>
            <a:ext uri="{FF2B5EF4-FFF2-40B4-BE49-F238E27FC236}">
              <a16:creationId xmlns:a16="http://schemas.microsoft.com/office/drawing/2014/main" id="{48BBD85A-AD77-46B4-82F2-A3E4F369FDCC}"/>
            </a:ext>
          </a:extLst>
        </xdr:cNvPr>
        <xdr:cNvSpPr/>
      </xdr:nvSpPr>
      <xdr:spPr>
        <a:xfrm>
          <a:off x="762000" y="95250"/>
          <a:ext cx="1905000" cy="381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solidFill>
                <a:schemeClr val="bg1"/>
              </a:solidFill>
              <a:latin typeface="Comic Sans MS" panose="030F0702030302020204" pitchFamily="66" charset="0"/>
            </a:rPr>
            <a:t>общий код</a:t>
          </a:r>
        </a:p>
      </xdr:txBody>
    </xdr:sp>
    <xdr:clientData/>
  </xdr:twoCellAnchor>
  <xdr:twoCellAnchor>
    <xdr:from>
      <xdr:col>37</xdr:col>
      <xdr:colOff>47625</xdr:colOff>
      <xdr:row>26</xdr:row>
      <xdr:rowOff>28575</xdr:rowOff>
    </xdr:from>
    <xdr:to>
      <xdr:col>51</xdr:col>
      <xdr:colOff>47625</xdr:colOff>
      <xdr:row>31</xdr:row>
      <xdr:rowOff>76200</xdr:rowOff>
    </xdr:to>
    <xdr:sp macro="" textlink="">
      <xdr:nvSpPr>
        <xdr:cNvPr id="52" name="hex_cells#array#79" descr="var num=n;&#10;objects[obj_name][num]=new hex_cell_class(num,grid_data[num][0],grid_data[num][1]);&#10;&#10;##png#1" title="checkers#array#24">
          <a:extLst>
            <a:ext uri="{FF2B5EF4-FFF2-40B4-BE49-F238E27FC236}">
              <a16:creationId xmlns:a16="http://schemas.microsoft.com/office/drawing/2014/main" id="{1BB61DBB-F060-4C56-AC4D-10840C01A685}"/>
            </a:ext>
          </a:extLst>
        </xdr:cNvPr>
        <xdr:cNvSpPr/>
      </xdr:nvSpPr>
      <xdr:spPr>
        <a:xfrm>
          <a:off x="3571875" y="2505075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СЕТКА</a:t>
          </a:r>
        </a:p>
      </xdr:txBody>
    </xdr:sp>
    <xdr:clientData/>
  </xdr:twoCellAnchor>
  <xdr:twoCellAnchor>
    <xdr:from>
      <xdr:col>0</xdr:col>
      <xdr:colOff>0</xdr:colOff>
      <xdr:row>23</xdr:row>
      <xdr:rowOff>90487</xdr:rowOff>
    </xdr:from>
    <xdr:to>
      <xdr:col>0</xdr:col>
      <xdr:colOff>0</xdr:colOff>
      <xdr:row>23</xdr:row>
      <xdr:rowOff>90487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D31FF802-13B2-4B0F-8016-88EAFA54B1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23</xdr:row>
      <xdr:rowOff>90487</xdr:rowOff>
    </xdr:from>
    <xdr:to>
      <xdr:col>0</xdr:col>
      <xdr:colOff>0</xdr:colOff>
      <xdr:row>23</xdr:row>
      <xdr:rowOff>90487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A58BCE54-D886-4C21-BCFF-E25CC5907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23</xdr:row>
      <xdr:rowOff>90487</xdr:rowOff>
    </xdr:from>
    <xdr:to>
      <xdr:col>0</xdr:col>
      <xdr:colOff>0</xdr:colOff>
      <xdr:row>23</xdr:row>
      <xdr:rowOff>90487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CBDA4996-E26F-4C04-8983-6F53468BB5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90487</xdr:rowOff>
    </xdr:from>
    <xdr:to>
      <xdr:col>0</xdr:col>
      <xdr:colOff>0</xdr:colOff>
      <xdr:row>23</xdr:row>
      <xdr:rowOff>90487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D09DC7A3-B643-47DA-B97E-DC3ECD9B3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120</xdr:col>
      <xdr:colOff>0</xdr:colOff>
      <xdr:row>8</xdr:row>
      <xdr:rowOff>0</xdr:rowOff>
    </xdr:from>
    <xdr:to>
      <xdr:col>154</xdr:col>
      <xdr:colOff>0</xdr:colOff>
      <xdr:row>31</xdr:row>
      <xdr:rowOff>0</xdr:rowOff>
    </xdr:to>
    <xdr:grpSp>
      <xdr:nvGrpSpPr>
        <xdr:cNvPr id="746" name="id_cont#contTOP">
          <a:extLst>
            <a:ext uri="{FF2B5EF4-FFF2-40B4-BE49-F238E27FC236}">
              <a16:creationId xmlns:a16="http://schemas.microsoft.com/office/drawing/2014/main" id="{44D3A6F0-6C6B-4E6D-A49C-B28C8CC2DA06}"/>
            </a:ext>
          </a:extLst>
        </xdr:cNvPr>
        <xdr:cNvGrpSpPr/>
      </xdr:nvGrpSpPr>
      <xdr:grpSpPr>
        <a:xfrm>
          <a:off x="11430000" y="762000"/>
          <a:ext cx="3238500" cy="2190750"/>
          <a:chOff x="11430000" y="762000"/>
          <a:chExt cx="3238500" cy="2190750"/>
        </a:xfrm>
      </xdr:grpSpPr>
      <xdr:grpSp>
        <xdr:nvGrpSpPr>
          <xdr:cNvPr id="94" name="id_bcg#spriteTOP" title="id_bcg#sprite">
            <a:extLst>
              <a:ext uri="{FF2B5EF4-FFF2-40B4-BE49-F238E27FC236}">
                <a16:creationId xmlns:a16="http://schemas.microsoft.com/office/drawing/2014/main" id="{526AFEC2-D57D-480E-BC79-BBDA8B9AF76D}"/>
              </a:ext>
            </a:extLst>
          </xdr:cNvPr>
          <xdr:cNvGrpSpPr/>
        </xdr:nvGrpSpPr>
        <xdr:grpSpPr>
          <a:xfrm>
            <a:off x="11525250" y="857250"/>
            <a:ext cx="3048000" cy="1714500"/>
            <a:chOff x="20764500" y="6191250"/>
            <a:chExt cx="3048000" cy="1714500"/>
          </a:xfrm>
        </xdr:grpSpPr>
        <xdr:sp macro="" textlink="">
          <xdr:nvSpPr>
            <xdr:cNvPr id="103" name="object">
              <a:extLst>
                <a:ext uri="{FF2B5EF4-FFF2-40B4-BE49-F238E27FC236}">
                  <a16:creationId xmlns:a16="http://schemas.microsoft.com/office/drawing/2014/main" id="{4E3F780D-A771-47ED-A42F-B89D173D7057}"/>
                </a:ext>
              </a:extLst>
            </xdr:cNvPr>
            <xdr:cNvSpPr/>
          </xdr:nvSpPr>
          <xdr:spPr>
            <a:xfrm>
              <a:off x="20859750" y="6286500"/>
              <a:ext cx="2857500" cy="1524000"/>
            </a:xfrm>
            <a:prstGeom prst="roundRect">
              <a:avLst>
                <a:gd name="adj" fmla="val 0"/>
              </a:avLst>
            </a:prstGeom>
            <a:solidFill>
              <a:schemeClr val="accent4">
                <a:lumMod val="50000"/>
                <a:alpha val="52000"/>
              </a:schemeClr>
            </a:solidFill>
            <a:ln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04" name="id_bcg#sprite" descr="objects[obj_name].x=$x;&#10;objects[obj_name].y=$y;&#10;objects[obj_name].width=$w;&#10;objects[obj_name].height=$h;&#10;objects[obj_name].base_tint=objects[obj_name].tint;##png#1.5" title="id_bcg#sprite">
              <a:extLst>
                <a:ext uri="{FF2B5EF4-FFF2-40B4-BE49-F238E27FC236}">
                  <a16:creationId xmlns:a16="http://schemas.microsoft.com/office/drawing/2014/main" id="{EA872DD9-4E27-4F4E-A10A-E208CC4EF511}"/>
                </a:ext>
              </a:extLst>
            </xdr:cNvPr>
            <xdr:cNvSpPr/>
          </xdr:nvSpPr>
          <xdr:spPr>
            <a:xfrm>
              <a:off x="20764500" y="6191250"/>
              <a:ext cx="3048000" cy="1714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05" name="object">
              <a:extLst>
                <a:ext uri="{FF2B5EF4-FFF2-40B4-BE49-F238E27FC236}">
                  <a16:creationId xmlns:a16="http://schemas.microsoft.com/office/drawing/2014/main" id="{6BEEC863-E821-4E8C-810C-4F5D9A88D408}"/>
                </a:ext>
              </a:extLst>
            </xdr:cNvPr>
            <xdr:cNvSpPr/>
          </xdr:nvSpPr>
          <xdr:spPr>
            <a:xfrm>
              <a:off x="20859750" y="6286500"/>
              <a:ext cx="2857500" cy="285750"/>
            </a:xfrm>
            <a:prstGeom prst="rect">
              <a:avLst/>
            </a:prstGeom>
            <a:solidFill>
              <a:srgbClr val="604900"/>
            </a:solidFill>
            <a:ln>
              <a:solidFill>
                <a:schemeClr val="bg1"/>
              </a:solidFill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latin typeface="Times New Roman" panose="02020603050405020304" pitchFamily="18" charset="0"/>
                  <a:ea typeface="Yahfie" pitchFamily="2" charset="-128"/>
                  <a:cs typeface="Times New Roman" panose="02020603050405020304" pitchFamily="18" charset="0"/>
                </a:rPr>
                <a:t>Log</a:t>
              </a:r>
              <a:r>
                <a:rPr lang="en-US" sz="1800" baseline="0">
                  <a:latin typeface="Times New Roman" panose="02020603050405020304" pitchFamily="18" charset="0"/>
                  <a:ea typeface="Yahfie" pitchFamily="2" charset="-128"/>
                  <a:cs typeface="Times New Roman" panose="02020603050405020304" pitchFamily="18" charset="0"/>
                </a:rPr>
                <a:t> in</a:t>
              </a:r>
              <a:r>
                <a:rPr lang="en-US" sz="1800">
                  <a:latin typeface="Times New Roman" panose="02020603050405020304" pitchFamily="18" charset="0"/>
                  <a:ea typeface="Yahfie" pitchFamily="2" charset="-128"/>
                  <a:cs typeface="Times New Roman" panose="02020603050405020304" pitchFamily="18" charset="0"/>
                </a:rPr>
                <a:t>...</a:t>
              </a:r>
              <a:endParaRPr lang="ru-RU" sz="1800">
                <a:latin typeface="Times New Roman" panose="02020603050405020304" pitchFamily="18" charset="0"/>
                <a:ea typeface="Yahfie" pitchFamily="2" charset="-128"/>
                <a:cs typeface="Times New Roman" panose="02020603050405020304" pitchFamily="18" charset="0"/>
              </a:endParaRPr>
            </a:p>
          </xdr:txBody>
        </xdr:sp>
        <xdr:pic>
          <xdr:nvPicPr>
            <xdr:cNvPr id="106" name="object">
              <a:extLst>
                <a:ext uri="{FF2B5EF4-FFF2-40B4-BE49-F238E27FC236}">
                  <a16:creationId xmlns:a16="http://schemas.microsoft.com/office/drawing/2014/main" id="{10CE57D8-3B1A-42FE-A85F-93D1ABA1EA4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6">
                      <a14:imgEffect>
                        <a14:sharpenSoften amount="-1000"/>
                      </a14:imgEffect>
                      <a14:imgEffect>
                        <a14:colorTemperature colorTemp="2565"/>
                      </a14:imgEffect>
                      <a14:imgEffect>
                        <a14:saturation sat="31000"/>
                      </a14:imgEffect>
                      <a14:imgEffect>
                        <a14:brightnessContrast bright="-6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20955000" y="6667500"/>
              <a:ext cx="952500" cy="939834"/>
            </a:xfrm>
            <a:prstGeom prst="rect">
              <a:avLst/>
            </a:prstGeom>
          </xdr:spPr>
        </xdr:pic>
      </xdr:grpSp>
      <xdr:sp macro="" textlink="">
        <xdr:nvSpPr>
          <xdr:cNvPr id="95" name="id_name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id_name#block">
            <a:extLst>
              <a:ext uri="{FF2B5EF4-FFF2-40B4-BE49-F238E27FC236}">
                <a16:creationId xmlns:a16="http://schemas.microsoft.com/office/drawing/2014/main" id="{D603DB7C-CC56-43FB-B3BC-E21544543BCC}"/>
              </a:ext>
            </a:extLst>
          </xdr:cNvPr>
          <xdr:cNvSpPr/>
        </xdr:nvSpPr>
        <xdr:spPr>
          <a:xfrm>
            <a:off x="12811125" y="1524000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96" name="id_rating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id_rating#block">
            <a:extLst>
              <a:ext uri="{FF2B5EF4-FFF2-40B4-BE49-F238E27FC236}">
                <a16:creationId xmlns:a16="http://schemas.microsoft.com/office/drawing/2014/main" id="{FEC18FB1-2A7F-498B-8C06-EFE46D88653F}"/>
              </a:ext>
            </a:extLst>
          </xdr:cNvPr>
          <xdr:cNvSpPr/>
        </xdr:nvSpPr>
        <xdr:spPr>
          <a:xfrm>
            <a:off x="12811125" y="1857375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97" name="id_avatar#block" descr="objects[obj_name]=new PIXI.Sprite();&#10;objects[obj_name].sx=objects[obj_name].x=$x;&#10;objects[obj_name].sy=objects[obj_name].y=$y;&#10;objects[obj_name].width=$w;&#10;objects[obj_name].height=$h;&#10;#&#10;&#10;" title="id_avatar#block">
            <a:extLst>
              <a:ext uri="{FF2B5EF4-FFF2-40B4-BE49-F238E27FC236}">
                <a16:creationId xmlns:a16="http://schemas.microsoft.com/office/drawing/2014/main" id="{78FF403B-A4DB-416A-9588-66F5F6916279}"/>
              </a:ext>
            </a:extLst>
          </xdr:cNvPr>
          <xdr:cNvSpPr/>
        </xdr:nvSpPr>
        <xdr:spPr>
          <a:xfrm>
            <a:off x="11715750" y="1333500"/>
            <a:ext cx="952499" cy="9525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8" name="id_cont#cont" descr="objects[obj_name]=new PIXI.Container();&#10;objects[obj_name].visible=true;&#10;objects[obj_name].sx=objects[obj_name].x=230;&#10;objects[obj_name].sy=objects[obj_name].y=-10;&#10;&#10;#objects[obj_name].addChild(objects.id_bcg);&#10;objects[obj_name].addChild(objects.id_avatar);&#10;objects[obj_name].addChild(objects.id_name);&#10;objects[obj_name].addChild(objects.id_rating);&#10;objects[obj_name].addChild(objects.id_loup);&#10;app.stage.addChild(objects[obj_name]);#png#1" title="id_cont#cont">
            <a:extLst>
              <a:ext uri="{FF2B5EF4-FFF2-40B4-BE49-F238E27FC236}">
                <a16:creationId xmlns:a16="http://schemas.microsoft.com/office/drawing/2014/main" id="{C180DDA8-A71C-472A-AA85-B3655132ADC8}"/>
              </a:ext>
            </a:extLst>
          </xdr:cNvPr>
          <xdr:cNvSpPr/>
        </xdr:nvSpPr>
        <xdr:spPr>
          <a:xfrm>
            <a:off x="11430000" y="762000"/>
            <a:ext cx="3238500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99" name="id_loup#spriteTOP" title="id_loup#sprite">
            <a:extLst>
              <a:ext uri="{FF2B5EF4-FFF2-40B4-BE49-F238E27FC236}">
                <a16:creationId xmlns:a16="http://schemas.microsoft.com/office/drawing/2014/main" id="{6FD24D8C-778F-46AD-A442-2EA94F31AC03}"/>
              </a:ext>
            </a:extLst>
          </xdr:cNvPr>
          <xdr:cNvGrpSpPr/>
        </xdr:nvGrpSpPr>
        <xdr:grpSpPr>
          <a:xfrm>
            <a:off x="11906249" y="1552575"/>
            <a:ext cx="762000" cy="762000"/>
            <a:chOff x="11620500" y="17335500"/>
            <a:chExt cx="762000" cy="762000"/>
          </a:xfrm>
        </xdr:grpSpPr>
        <xdr:sp macro="" textlink="">
          <xdr:nvSpPr>
            <xdr:cNvPr id="100" name="object">
              <a:extLst>
                <a:ext uri="{FF2B5EF4-FFF2-40B4-BE49-F238E27FC236}">
                  <a16:creationId xmlns:a16="http://schemas.microsoft.com/office/drawing/2014/main" id="{7CD12998-D45B-4E78-B34F-700D2B720941}"/>
                </a:ext>
              </a:extLst>
            </xdr:cNvPr>
            <xdr:cNvSpPr/>
          </xdr:nvSpPr>
          <xdr:spPr>
            <a:xfrm rot="18849395">
              <a:off x="12010470" y="17676961"/>
              <a:ext cx="117011" cy="244149"/>
            </a:xfrm>
            <a:custGeom>
              <a:avLst/>
              <a:gdLst>
                <a:gd name="connsiteX0" fmla="*/ 0 w 559678"/>
                <a:gd name="connsiteY0" fmla="*/ 766124 h 766124"/>
                <a:gd name="connsiteX1" fmla="*/ 279839 w 559678"/>
                <a:gd name="connsiteY1" fmla="*/ 0 h 766124"/>
                <a:gd name="connsiteX2" fmla="*/ 559678 w 559678"/>
                <a:gd name="connsiteY2" fmla="*/ 766124 h 766124"/>
                <a:gd name="connsiteX3" fmla="*/ 0 w 559678"/>
                <a:gd name="connsiteY3" fmla="*/ 766124 h 7661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559678 w 559678"/>
                <a:gd name="connsiteY2" fmla="*/ 575624 h 575624"/>
                <a:gd name="connsiteX3" fmla="*/ 0 w 559678"/>
                <a:gd name="connsiteY3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57272 w 559678"/>
                <a:gd name="connsiteY2" fmla="*/ 267891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8342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31053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09018"/>
                <a:gd name="connsiteY0" fmla="*/ 588427 h 588427"/>
                <a:gd name="connsiteX1" fmla="*/ 128018 w 509018"/>
                <a:gd name="connsiteY1" fmla="*/ 0 h 588427"/>
                <a:gd name="connsiteX2" fmla="*/ 318518 w 509018"/>
                <a:gd name="connsiteY2" fmla="*/ 0 h 588427"/>
                <a:gd name="connsiteX3" fmla="*/ 509018 w 509018"/>
                <a:gd name="connsiteY3" fmla="*/ 575624 h 588427"/>
                <a:gd name="connsiteX4" fmla="*/ 0 w 509018"/>
                <a:gd name="connsiteY4" fmla="*/ 588427 h 588427"/>
                <a:gd name="connsiteX0" fmla="*/ 0 w 445038"/>
                <a:gd name="connsiteY0" fmla="*/ 588427 h 588427"/>
                <a:gd name="connsiteX1" fmla="*/ 128018 w 445038"/>
                <a:gd name="connsiteY1" fmla="*/ 0 h 588427"/>
                <a:gd name="connsiteX2" fmla="*/ 318518 w 445038"/>
                <a:gd name="connsiteY2" fmla="*/ 0 h 588427"/>
                <a:gd name="connsiteX3" fmla="*/ 445037 w 445038"/>
                <a:gd name="connsiteY3" fmla="*/ 581385 h 588427"/>
                <a:gd name="connsiteX4" fmla="*/ 0 w 445038"/>
                <a:gd name="connsiteY4" fmla="*/ 588427 h 58842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45038" h="588427">
                  <a:moveTo>
                    <a:pt x="0" y="588427"/>
                  </a:moveTo>
                  <a:lnTo>
                    <a:pt x="128018" y="0"/>
                  </a:lnTo>
                  <a:lnTo>
                    <a:pt x="318518" y="0"/>
                  </a:lnTo>
                  <a:lnTo>
                    <a:pt x="445037" y="581385"/>
                  </a:lnTo>
                  <a:lnTo>
                    <a:pt x="0" y="588427"/>
                  </a:lnTo>
                  <a:close/>
                </a:path>
              </a:pathLst>
            </a:custGeom>
            <a:solidFill>
              <a:srgbClr val="FFFF0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01" name="object">
              <a:extLst>
                <a:ext uri="{FF2B5EF4-FFF2-40B4-BE49-F238E27FC236}">
                  <a16:creationId xmlns:a16="http://schemas.microsoft.com/office/drawing/2014/main" id="{71040C82-5389-4B0B-BC3D-A11D41B1E04F}"/>
                </a:ext>
              </a:extLst>
            </xdr:cNvPr>
            <xdr:cNvSpPr/>
          </xdr:nvSpPr>
          <xdr:spPr>
            <a:xfrm>
              <a:off x="11759803" y="17487951"/>
              <a:ext cx="232119" cy="232119"/>
            </a:xfrm>
            <a:prstGeom prst="ellipse">
              <a:avLst/>
            </a:prstGeom>
            <a:noFill/>
            <a:ln w="38100">
              <a:solidFill>
                <a:srgbClr val="FFFF0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02" name="id_loup#sprite" descr="objects[obj_name].sx=objects[obj_name].x=$x;&#10;objects[obj_name].sy=objects[obj_name].y=$y;&#10;objects[obj_name].width=$w;&#10;objects[obj_name].height=$h;&#10;objects[obj_name].anchor.set(0.5,0.5);##png#1.5" title="id_loup#sprite">
              <a:extLst>
                <a:ext uri="{FF2B5EF4-FFF2-40B4-BE49-F238E27FC236}">
                  <a16:creationId xmlns:a16="http://schemas.microsoft.com/office/drawing/2014/main" id="{798C965F-A37A-4BBB-9A18-C041353FE9A1}"/>
                </a:ext>
              </a:extLst>
            </xdr:cNvPr>
            <xdr:cNvSpPr/>
          </xdr:nvSpPr>
          <xdr:spPr>
            <a:xfrm>
              <a:off x="11620500" y="17335500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116</xdr:col>
      <xdr:colOff>0</xdr:colOff>
      <xdr:row>38</xdr:row>
      <xdr:rowOff>0</xdr:rowOff>
    </xdr:from>
    <xdr:to>
      <xdr:col>126</xdr:col>
      <xdr:colOff>0</xdr:colOff>
      <xdr:row>48</xdr:row>
      <xdr:rowOff>2721</xdr:rowOff>
    </xdr:to>
    <xdr:grpSp>
      <xdr:nvGrpSpPr>
        <xdr:cNvPr id="115" name="avatar_mask#imageTOP" title="avatar_mask#image">
          <a:extLst>
            <a:ext uri="{FF2B5EF4-FFF2-40B4-BE49-F238E27FC236}">
              <a16:creationId xmlns:a16="http://schemas.microsoft.com/office/drawing/2014/main" id="{F3E2D31B-49B0-4C1C-B3C7-BDC95DDDD60D}"/>
            </a:ext>
          </a:extLst>
        </xdr:cNvPr>
        <xdr:cNvGrpSpPr/>
      </xdr:nvGrpSpPr>
      <xdr:grpSpPr>
        <a:xfrm>
          <a:off x="11049000" y="3619500"/>
          <a:ext cx="952500" cy="955221"/>
          <a:chOff x="13525500" y="9810750"/>
          <a:chExt cx="952500" cy="955221"/>
        </a:xfrm>
      </xdr:grpSpPr>
      <xdr:sp macro="" textlink="">
        <xdr:nvSpPr>
          <xdr:cNvPr id="116" name="object">
            <a:extLst>
              <a:ext uri="{FF2B5EF4-FFF2-40B4-BE49-F238E27FC236}">
                <a16:creationId xmlns:a16="http://schemas.microsoft.com/office/drawing/2014/main" id="{9411312B-B8D8-49DB-A85D-94AA47D5ABF5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custGeom>
            <a:avLst/>
            <a:gdLst>
              <a:gd name="connsiteX0" fmla="*/ 2006866 w 3996063"/>
              <a:gd name="connsiteY0" fmla="*/ 100711 h 4436533"/>
              <a:gd name="connsiteX1" fmla="*/ 1777549 w 3996063"/>
              <a:gd name="connsiteY1" fmla="*/ 162094 h 4436533"/>
              <a:gd name="connsiteX2" fmla="*/ 330022 w 3996063"/>
              <a:gd name="connsiteY2" fmla="*/ 997781 h 4436533"/>
              <a:gd name="connsiteX3" fmla="*/ 100706 w 3996063"/>
              <a:gd name="connsiteY3" fmla="*/ 1395053 h 4436533"/>
              <a:gd name="connsiteX4" fmla="*/ 100706 w 3996063"/>
              <a:gd name="connsiteY4" fmla="*/ 3066690 h 4436533"/>
              <a:gd name="connsiteX5" fmla="*/ 330022 w 3996063"/>
              <a:gd name="connsiteY5" fmla="*/ 3463896 h 4436533"/>
              <a:gd name="connsiteX6" fmla="*/ 1777550 w 3996063"/>
              <a:gd name="connsiteY6" fmla="*/ 4299649 h 4436533"/>
              <a:gd name="connsiteX7" fmla="*/ 2236182 w 3996063"/>
              <a:gd name="connsiteY7" fmla="*/ 4299649 h 4436533"/>
              <a:gd name="connsiteX8" fmla="*/ 3683710 w 3996063"/>
              <a:gd name="connsiteY8" fmla="*/ 3463896 h 4436533"/>
              <a:gd name="connsiteX9" fmla="*/ 3913025 w 3996063"/>
              <a:gd name="connsiteY9" fmla="*/ 3066690 h 4436533"/>
              <a:gd name="connsiteX10" fmla="*/ 3913025 w 3996063"/>
              <a:gd name="connsiteY10" fmla="*/ 1395053 h 4436533"/>
              <a:gd name="connsiteX11" fmla="*/ 3683710 w 3996063"/>
              <a:gd name="connsiteY11" fmla="*/ 997781 h 4436533"/>
              <a:gd name="connsiteX12" fmla="*/ 2236182 w 3996063"/>
              <a:gd name="connsiteY12" fmla="*/ 162094 h 4436533"/>
              <a:gd name="connsiteX13" fmla="*/ 2006866 w 3996063"/>
              <a:gd name="connsiteY13" fmla="*/ 100711 h 44365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996063" h="4436533">
                <a:moveTo>
                  <a:pt x="2006866" y="100711"/>
                </a:moveTo>
                <a:cubicBezTo>
                  <a:pt x="1926365" y="100695"/>
                  <a:pt x="1847278" y="121865"/>
                  <a:pt x="1777549" y="162094"/>
                </a:cubicBezTo>
                <a:cubicBezTo>
                  <a:pt x="1295040" y="440657"/>
                  <a:pt x="812531" y="719219"/>
                  <a:pt x="330022" y="997781"/>
                </a:cubicBezTo>
                <a:cubicBezTo>
                  <a:pt x="188112" y="1079735"/>
                  <a:pt x="100698" y="1231172"/>
                  <a:pt x="100706" y="1395053"/>
                </a:cubicBezTo>
                <a:lnTo>
                  <a:pt x="100706" y="3066690"/>
                </a:lnTo>
                <a:cubicBezTo>
                  <a:pt x="100722" y="3230547"/>
                  <a:pt x="188133" y="3381954"/>
                  <a:pt x="330022" y="3463896"/>
                </a:cubicBezTo>
                <a:cubicBezTo>
                  <a:pt x="812531" y="3742480"/>
                  <a:pt x="1295040" y="4021064"/>
                  <a:pt x="1777550" y="4299649"/>
                </a:cubicBezTo>
                <a:cubicBezTo>
                  <a:pt x="1919455" y="4381564"/>
                  <a:pt x="2094276" y="4381564"/>
                  <a:pt x="2236182" y="4299649"/>
                </a:cubicBezTo>
                <a:cubicBezTo>
                  <a:pt x="2718691" y="4021064"/>
                  <a:pt x="3201200" y="3742480"/>
                  <a:pt x="3683710" y="3463896"/>
                </a:cubicBezTo>
                <a:cubicBezTo>
                  <a:pt x="3825599" y="3381954"/>
                  <a:pt x="3913009" y="3230547"/>
                  <a:pt x="3913025" y="3066690"/>
                </a:cubicBezTo>
                <a:lnTo>
                  <a:pt x="3913025" y="1395053"/>
                </a:lnTo>
                <a:cubicBezTo>
                  <a:pt x="3913033" y="1231172"/>
                  <a:pt x="3825619" y="1079735"/>
                  <a:pt x="3683710" y="997781"/>
                </a:cubicBezTo>
                <a:cubicBezTo>
                  <a:pt x="3201200" y="719219"/>
                  <a:pt x="2718691" y="440656"/>
                  <a:pt x="2236182" y="162094"/>
                </a:cubicBezTo>
                <a:cubicBezTo>
                  <a:pt x="2166453" y="121865"/>
                  <a:pt x="2087366" y="100695"/>
                  <a:pt x="2006866" y="100711"/>
                </a:cubicBezTo>
                <a:close/>
              </a:path>
            </a:pathLst>
          </a:custGeom>
          <a:solidFill>
            <a:srgbClr val="FF0000"/>
          </a:solidFill>
          <a:ln w="5715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17" name="avatar_mask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5AC0634D-9D71-418D-879A-A555954BDCEF}"/>
              </a:ext>
            </a:extLst>
          </xdr:cNvPr>
          <xdr:cNvSpPr/>
        </xdr:nvSpPr>
        <xdr:spPr>
          <a:xfrm>
            <a:off x="13525500" y="981075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103</xdr:col>
      <xdr:colOff>0</xdr:colOff>
      <xdr:row>38</xdr:row>
      <xdr:rowOff>2721</xdr:rowOff>
    </xdr:from>
    <xdr:to>
      <xdr:col>115</xdr:col>
      <xdr:colOff>0</xdr:colOff>
      <xdr:row>50</xdr:row>
      <xdr:rowOff>2721</xdr:rowOff>
    </xdr:to>
    <xdr:grpSp>
      <xdr:nvGrpSpPr>
        <xdr:cNvPr id="118" name="avatar_frame#imageTOP" title="avatar_frame#image">
          <a:extLst>
            <a:ext uri="{FF2B5EF4-FFF2-40B4-BE49-F238E27FC236}">
              <a16:creationId xmlns:a16="http://schemas.microsoft.com/office/drawing/2014/main" id="{AE31C1FE-454A-4A48-A8DC-E69E389C85DE}"/>
            </a:ext>
          </a:extLst>
        </xdr:cNvPr>
        <xdr:cNvGrpSpPr/>
      </xdr:nvGrpSpPr>
      <xdr:grpSpPr>
        <a:xfrm>
          <a:off x="9810750" y="3622221"/>
          <a:ext cx="1143000" cy="1143000"/>
          <a:chOff x="13430250" y="9715500"/>
          <a:chExt cx="1143000" cy="1143000"/>
        </a:xfrm>
      </xdr:grpSpPr>
      <xdr:sp macro="" textlink="">
        <xdr:nvSpPr>
          <xdr:cNvPr id="119" name="object">
            <a:extLst>
              <a:ext uri="{FF2B5EF4-FFF2-40B4-BE49-F238E27FC236}">
                <a16:creationId xmlns:a16="http://schemas.microsoft.com/office/drawing/2014/main" id="{1958B9FF-F699-421C-81B8-22C75D69FFF4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custGeom>
            <a:avLst/>
            <a:gdLst>
              <a:gd name="connsiteX0" fmla="*/ 2006866 w 3996063"/>
              <a:gd name="connsiteY0" fmla="*/ 100711 h 4436533"/>
              <a:gd name="connsiteX1" fmla="*/ 1777549 w 3996063"/>
              <a:gd name="connsiteY1" fmla="*/ 162094 h 4436533"/>
              <a:gd name="connsiteX2" fmla="*/ 330022 w 3996063"/>
              <a:gd name="connsiteY2" fmla="*/ 997781 h 4436533"/>
              <a:gd name="connsiteX3" fmla="*/ 100706 w 3996063"/>
              <a:gd name="connsiteY3" fmla="*/ 1395053 h 4436533"/>
              <a:gd name="connsiteX4" fmla="*/ 100706 w 3996063"/>
              <a:gd name="connsiteY4" fmla="*/ 3066690 h 4436533"/>
              <a:gd name="connsiteX5" fmla="*/ 330022 w 3996063"/>
              <a:gd name="connsiteY5" fmla="*/ 3463896 h 4436533"/>
              <a:gd name="connsiteX6" fmla="*/ 1777550 w 3996063"/>
              <a:gd name="connsiteY6" fmla="*/ 4299649 h 4436533"/>
              <a:gd name="connsiteX7" fmla="*/ 2236182 w 3996063"/>
              <a:gd name="connsiteY7" fmla="*/ 4299649 h 4436533"/>
              <a:gd name="connsiteX8" fmla="*/ 3683710 w 3996063"/>
              <a:gd name="connsiteY8" fmla="*/ 3463896 h 4436533"/>
              <a:gd name="connsiteX9" fmla="*/ 3913025 w 3996063"/>
              <a:gd name="connsiteY9" fmla="*/ 3066690 h 4436533"/>
              <a:gd name="connsiteX10" fmla="*/ 3913025 w 3996063"/>
              <a:gd name="connsiteY10" fmla="*/ 1395053 h 4436533"/>
              <a:gd name="connsiteX11" fmla="*/ 3683710 w 3996063"/>
              <a:gd name="connsiteY11" fmla="*/ 997781 h 4436533"/>
              <a:gd name="connsiteX12" fmla="*/ 2236182 w 3996063"/>
              <a:gd name="connsiteY12" fmla="*/ 162094 h 4436533"/>
              <a:gd name="connsiteX13" fmla="*/ 2006866 w 3996063"/>
              <a:gd name="connsiteY13" fmla="*/ 100711 h 44365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996063" h="4436533">
                <a:moveTo>
                  <a:pt x="2006866" y="100711"/>
                </a:moveTo>
                <a:cubicBezTo>
                  <a:pt x="1926365" y="100695"/>
                  <a:pt x="1847278" y="121865"/>
                  <a:pt x="1777549" y="162094"/>
                </a:cubicBezTo>
                <a:cubicBezTo>
                  <a:pt x="1295040" y="440657"/>
                  <a:pt x="812531" y="719219"/>
                  <a:pt x="330022" y="997781"/>
                </a:cubicBezTo>
                <a:cubicBezTo>
                  <a:pt x="188112" y="1079735"/>
                  <a:pt x="100698" y="1231172"/>
                  <a:pt x="100706" y="1395053"/>
                </a:cubicBezTo>
                <a:lnTo>
                  <a:pt x="100706" y="3066690"/>
                </a:lnTo>
                <a:cubicBezTo>
                  <a:pt x="100722" y="3230547"/>
                  <a:pt x="188133" y="3381954"/>
                  <a:pt x="330022" y="3463896"/>
                </a:cubicBezTo>
                <a:cubicBezTo>
                  <a:pt x="812531" y="3742480"/>
                  <a:pt x="1295040" y="4021064"/>
                  <a:pt x="1777550" y="4299649"/>
                </a:cubicBezTo>
                <a:cubicBezTo>
                  <a:pt x="1919455" y="4381564"/>
                  <a:pt x="2094276" y="4381564"/>
                  <a:pt x="2236182" y="4299649"/>
                </a:cubicBezTo>
                <a:cubicBezTo>
                  <a:pt x="2718691" y="4021064"/>
                  <a:pt x="3201200" y="3742480"/>
                  <a:pt x="3683710" y="3463896"/>
                </a:cubicBezTo>
                <a:cubicBezTo>
                  <a:pt x="3825599" y="3381954"/>
                  <a:pt x="3913009" y="3230547"/>
                  <a:pt x="3913025" y="3066690"/>
                </a:cubicBezTo>
                <a:lnTo>
                  <a:pt x="3913025" y="1395053"/>
                </a:lnTo>
                <a:cubicBezTo>
                  <a:pt x="3913033" y="1231172"/>
                  <a:pt x="3825619" y="1079735"/>
                  <a:pt x="3683710" y="997781"/>
                </a:cubicBezTo>
                <a:cubicBezTo>
                  <a:pt x="3201200" y="719219"/>
                  <a:pt x="2718691" y="440656"/>
                  <a:pt x="2236182" y="162094"/>
                </a:cubicBezTo>
                <a:cubicBezTo>
                  <a:pt x="2166453" y="121865"/>
                  <a:pt x="2087366" y="100695"/>
                  <a:pt x="2006866" y="100711"/>
                </a:cubicBezTo>
                <a:close/>
              </a:path>
            </a:pathLst>
          </a:custGeom>
          <a:noFill/>
          <a:ln w="38100" cap="flat">
            <a:gradFill flip="none" rotWithShape="1">
              <a:gsLst>
                <a:gs pos="0">
                  <a:schemeClr val="accent3">
                    <a:lumMod val="40000"/>
                    <a:lumOff val="60000"/>
                  </a:schemeClr>
                </a:gs>
                <a:gs pos="46000">
                  <a:schemeClr val="accent3">
                    <a:lumMod val="95000"/>
                    <a:lumOff val="5000"/>
                  </a:schemeClr>
                </a:gs>
                <a:gs pos="100000">
                  <a:schemeClr val="accent3">
                    <a:lumMod val="60000"/>
                  </a:schemeClr>
                </a:gs>
              </a:gsLst>
              <a:path path="circle">
                <a:fillToRect l="50000" t="130000" r="50000" b="-30000"/>
              </a:path>
              <a:tileRect/>
            </a:gradFill>
            <a:prstDash val="solid"/>
            <a:miter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20" name="avatar_frame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D6F9FE90-9BBB-4B9E-9C77-6B2AA2C500E0}"/>
              </a:ext>
            </a:extLst>
          </xdr:cNvPr>
          <xdr:cNvSpPr/>
        </xdr:nvSpPr>
        <xdr:spPr>
          <a:xfrm>
            <a:off x="13430250" y="971550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96</xdr:col>
      <xdr:colOff>0</xdr:colOff>
      <xdr:row>72</xdr:row>
      <xdr:rowOff>0</xdr:rowOff>
    </xdr:from>
    <xdr:to>
      <xdr:col>106</xdr:col>
      <xdr:colOff>0</xdr:colOff>
      <xdr:row>83</xdr:row>
      <xdr:rowOff>0</xdr:rowOff>
    </xdr:to>
    <xdr:grpSp>
      <xdr:nvGrpSpPr>
        <xdr:cNvPr id="622" name="icon_fly#spriteTOP" title="icon_fly#sprite">
          <a:extLst>
            <a:ext uri="{FF2B5EF4-FFF2-40B4-BE49-F238E27FC236}">
              <a16:creationId xmlns:a16="http://schemas.microsoft.com/office/drawing/2014/main" id="{8BAF3504-6DC6-48E7-94EE-8AB616FD0CFE}"/>
            </a:ext>
          </a:extLst>
        </xdr:cNvPr>
        <xdr:cNvGrpSpPr/>
      </xdr:nvGrpSpPr>
      <xdr:grpSpPr>
        <a:xfrm>
          <a:off x="9144000" y="6858000"/>
          <a:ext cx="952500" cy="1047750"/>
          <a:chOff x="10096500" y="6858000"/>
          <a:chExt cx="952500" cy="1047750"/>
        </a:xfrm>
      </xdr:grpSpPr>
      <xdr:pic>
        <xdr:nvPicPr>
          <xdr:cNvPr id="623" name="Рисунок 622" descr="Краб">
            <a:extLst>
              <a:ext uri="{FF2B5EF4-FFF2-40B4-BE49-F238E27FC236}">
                <a16:creationId xmlns:a16="http://schemas.microsoft.com/office/drawing/2014/main" id="{DC5E771A-AA93-43EE-9150-220DCB9177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86999" y="7096125"/>
            <a:ext cx="571501" cy="571501"/>
          </a:xfrm>
          <a:prstGeom prst="rect">
            <a:avLst/>
          </a:prstGeom>
        </xdr:spPr>
      </xdr:pic>
      <xdr:sp macro="" textlink="">
        <xdr:nvSpPr>
          <xdr:cNvPr id="624" name="icon_fly#sprite" descr="objects[obj_name].anchor.set(0.5,0.5);&#10;objects[obj_name].visible=false;##png#1.5" title="close_big_message#sprite">
            <a:extLst>
              <a:ext uri="{FF2B5EF4-FFF2-40B4-BE49-F238E27FC236}">
                <a16:creationId xmlns:a16="http://schemas.microsoft.com/office/drawing/2014/main" id="{BD9B1BC6-B32B-4438-9F8C-EA82F2EE4859}"/>
              </a:ext>
            </a:extLst>
          </xdr:cNvPr>
          <xdr:cNvSpPr/>
        </xdr:nvSpPr>
        <xdr:spPr>
          <a:xfrm>
            <a:off x="10096500" y="6858000"/>
            <a:ext cx="952500" cy="1047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96</xdr:col>
      <xdr:colOff>0</xdr:colOff>
      <xdr:row>61</xdr:row>
      <xdr:rowOff>0</xdr:rowOff>
    </xdr:from>
    <xdr:to>
      <xdr:col>106</xdr:col>
      <xdr:colOff>0</xdr:colOff>
      <xdr:row>72</xdr:row>
      <xdr:rowOff>0</xdr:rowOff>
    </xdr:to>
    <xdr:grpSp>
      <xdr:nvGrpSpPr>
        <xdr:cNvPr id="438" name="hex_cell_0#imageTOP" title="hex_cell_0#image">
          <a:extLst>
            <a:ext uri="{FF2B5EF4-FFF2-40B4-BE49-F238E27FC236}">
              <a16:creationId xmlns:a16="http://schemas.microsoft.com/office/drawing/2014/main" id="{E487C3F5-4465-482C-878A-BE894764FA17}"/>
            </a:ext>
          </a:extLst>
        </xdr:cNvPr>
        <xdr:cNvGrpSpPr/>
      </xdr:nvGrpSpPr>
      <xdr:grpSpPr>
        <a:xfrm>
          <a:off x="9144000" y="5810250"/>
          <a:ext cx="952500" cy="1047750"/>
          <a:chOff x="9144000" y="5810250"/>
          <a:chExt cx="952500" cy="1047750"/>
        </a:xfrm>
      </xdr:grpSpPr>
      <xdr:sp macro="" textlink="">
        <xdr:nvSpPr>
          <xdr:cNvPr id="65" name="hex_cell_0#image" descr="Кода нет, это картинка#Кода нет, это картинка#png#1.5" title="close_big_message#sprite">
            <a:extLst>
              <a:ext uri="{FF2B5EF4-FFF2-40B4-BE49-F238E27FC236}">
                <a16:creationId xmlns:a16="http://schemas.microsoft.com/office/drawing/2014/main" id="{CC8E8799-B6F9-473B-B618-274958F799BA}"/>
              </a:ext>
            </a:extLst>
          </xdr:cNvPr>
          <xdr:cNvSpPr/>
        </xdr:nvSpPr>
        <xdr:spPr>
          <a:xfrm>
            <a:off x="9144000" y="5810250"/>
            <a:ext cx="952500" cy="1047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435" name="Рисунок 433">
            <a:extLst>
              <a:ext uri="{FF2B5EF4-FFF2-40B4-BE49-F238E27FC236}">
                <a16:creationId xmlns:a16="http://schemas.microsoft.com/office/drawing/2014/main" id="{A913526F-2549-46B1-8B08-684137C50392}"/>
              </a:ext>
            </a:extLst>
          </xdr:cNvPr>
          <xdr:cNvSpPr/>
        </xdr:nvSpPr>
        <xdr:spPr>
          <a:xfrm>
            <a:off x="9239250" y="5905500"/>
            <a:ext cx="762000" cy="843071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solidFill>
            <a:schemeClr val="bg1">
              <a:lumMod val="65000"/>
            </a:schemeClr>
          </a:solidFill>
          <a:ln w="3175" cap="rnd">
            <a:noFill/>
            <a:prstDash val="solid"/>
            <a:round/>
          </a:ln>
          <a:scene3d>
            <a:camera prst="perspectiveRelaxedModerately" fov="0"/>
            <a:lightRig rig="threePt" dir="t"/>
          </a:scene3d>
          <a:sp3d extrusionH="127000"/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106</xdr:col>
      <xdr:colOff>0</xdr:colOff>
      <xdr:row>61</xdr:row>
      <xdr:rowOff>0</xdr:rowOff>
    </xdr:from>
    <xdr:to>
      <xdr:col>116</xdr:col>
      <xdr:colOff>0</xdr:colOff>
      <xdr:row>72</xdr:row>
      <xdr:rowOff>0</xdr:rowOff>
    </xdr:to>
    <xdr:grpSp>
      <xdr:nvGrpSpPr>
        <xdr:cNvPr id="436" name="hex_cell_1#imageTOP" title="hex_cell_1#image">
          <a:extLst>
            <a:ext uri="{FF2B5EF4-FFF2-40B4-BE49-F238E27FC236}">
              <a16:creationId xmlns:a16="http://schemas.microsoft.com/office/drawing/2014/main" id="{2C0CF1CF-A8B6-4DAE-8FB6-C13B9D7CF0C9}"/>
            </a:ext>
          </a:extLst>
        </xdr:cNvPr>
        <xdr:cNvGrpSpPr/>
      </xdr:nvGrpSpPr>
      <xdr:grpSpPr>
        <a:xfrm>
          <a:off x="10096500" y="5810250"/>
          <a:ext cx="952500" cy="1047750"/>
          <a:chOff x="10096500" y="5810250"/>
          <a:chExt cx="952500" cy="1047750"/>
        </a:xfrm>
      </xdr:grpSpPr>
      <xdr:sp macro="" textlink="">
        <xdr:nvSpPr>
          <xdr:cNvPr id="276" name="hex_cell_1#image" descr="Кода нет, это картинка#Кода нет, это картинка#png#1.5" title="close_big_message#sprite">
            <a:extLst>
              <a:ext uri="{FF2B5EF4-FFF2-40B4-BE49-F238E27FC236}">
                <a16:creationId xmlns:a16="http://schemas.microsoft.com/office/drawing/2014/main" id="{EE0C4D8F-2F02-41A2-9B03-4F0C87766BDB}"/>
              </a:ext>
            </a:extLst>
          </xdr:cNvPr>
          <xdr:cNvSpPr/>
        </xdr:nvSpPr>
        <xdr:spPr>
          <a:xfrm>
            <a:off x="10096500" y="5810250"/>
            <a:ext cx="952500" cy="1047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99" name="Рисунок 433">
            <a:extLst>
              <a:ext uri="{FF2B5EF4-FFF2-40B4-BE49-F238E27FC236}">
                <a16:creationId xmlns:a16="http://schemas.microsoft.com/office/drawing/2014/main" id="{A90BCA5E-16CF-4B02-9810-4C51269EC9C9}"/>
              </a:ext>
            </a:extLst>
          </xdr:cNvPr>
          <xdr:cNvSpPr/>
        </xdr:nvSpPr>
        <xdr:spPr>
          <a:xfrm>
            <a:off x="10191750" y="5905500"/>
            <a:ext cx="762000" cy="843071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solidFill>
            <a:srgbClr val="FFC000"/>
          </a:solidFill>
          <a:ln w="3175" cap="rnd">
            <a:noFill/>
            <a:prstDash val="solid"/>
            <a:round/>
          </a:ln>
          <a:scene3d>
            <a:camera prst="perspectiveRelaxedModerately" fov="0"/>
            <a:lightRig rig="threePt" dir="t"/>
          </a:scene3d>
          <a:sp3d extrusionH="127000"/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116</xdr:col>
      <xdr:colOff>0</xdr:colOff>
      <xdr:row>61</xdr:row>
      <xdr:rowOff>0</xdr:rowOff>
    </xdr:from>
    <xdr:to>
      <xdr:col>126</xdr:col>
      <xdr:colOff>0</xdr:colOff>
      <xdr:row>72</xdr:row>
      <xdr:rowOff>0</xdr:rowOff>
    </xdr:to>
    <xdr:grpSp>
      <xdr:nvGrpSpPr>
        <xdr:cNvPr id="437" name="hex_cell_2#imageTOP" title="hex_cell_2#image">
          <a:extLst>
            <a:ext uri="{FF2B5EF4-FFF2-40B4-BE49-F238E27FC236}">
              <a16:creationId xmlns:a16="http://schemas.microsoft.com/office/drawing/2014/main" id="{410EC0EE-6702-4A3E-81A0-EB97F8BBB77B}"/>
            </a:ext>
          </a:extLst>
        </xdr:cNvPr>
        <xdr:cNvGrpSpPr/>
      </xdr:nvGrpSpPr>
      <xdr:grpSpPr>
        <a:xfrm>
          <a:off x="11049000" y="5810250"/>
          <a:ext cx="952500" cy="1047750"/>
          <a:chOff x="11049000" y="5810250"/>
          <a:chExt cx="952500" cy="1047750"/>
        </a:xfrm>
      </xdr:grpSpPr>
      <xdr:sp macro="" textlink="">
        <xdr:nvSpPr>
          <xdr:cNvPr id="282" name="hex_cell_2#image" descr="Кода нет, это картинка#Кода нет, это картинка#png#1.5" title="close_big_message#sprite">
            <a:extLst>
              <a:ext uri="{FF2B5EF4-FFF2-40B4-BE49-F238E27FC236}">
                <a16:creationId xmlns:a16="http://schemas.microsoft.com/office/drawing/2014/main" id="{1D52BE24-02FC-4E37-B80A-E7D65E168E44}"/>
              </a:ext>
            </a:extLst>
          </xdr:cNvPr>
          <xdr:cNvSpPr/>
        </xdr:nvSpPr>
        <xdr:spPr>
          <a:xfrm>
            <a:off x="11049000" y="5810250"/>
            <a:ext cx="952500" cy="1047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00" name="Рисунок 433">
            <a:extLst>
              <a:ext uri="{FF2B5EF4-FFF2-40B4-BE49-F238E27FC236}">
                <a16:creationId xmlns:a16="http://schemas.microsoft.com/office/drawing/2014/main" id="{90EB9520-30AD-48C6-9426-BAC3AA654F84}"/>
              </a:ext>
            </a:extLst>
          </xdr:cNvPr>
          <xdr:cNvSpPr/>
        </xdr:nvSpPr>
        <xdr:spPr>
          <a:xfrm>
            <a:off x="11144250" y="5919679"/>
            <a:ext cx="762000" cy="843071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solidFill>
            <a:srgbClr val="FF0000"/>
          </a:solidFill>
          <a:ln w="3175" cap="rnd">
            <a:noFill/>
            <a:prstDash val="solid"/>
            <a:round/>
          </a:ln>
          <a:scene3d>
            <a:camera prst="perspectiveRelaxedModerately" fov="0"/>
            <a:lightRig rig="threePt" dir="t"/>
          </a:scene3d>
          <a:sp3d extrusionH="127000"/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126</xdr:col>
      <xdr:colOff>0</xdr:colOff>
      <xdr:row>61</xdr:row>
      <xdr:rowOff>0</xdr:rowOff>
    </xdr:from>
    <xdr:to>
      <xdr:col>136</xdr:col>
      <xdr:colOff>0</xdr:colOff>
      <xdr:row>72</xdr:row>
      <xdr:rowOff>0</xdr:rowOff>
    </xdr:to>
    <xdr:grpSp>
      <xdr:nvGrpSpPr>
        <xdr:cNvPr id="587" name="hex_selected2#imageTOP" title="hex_selected2#image">
          <a:extLst>
            <a:ext uri="{FF2B5EF4-FFF2-40B4-BE49-F238E27FC236}">
              <a16:creationId xmlns:a16="http://schemas.microsoft.com/office/drawing/2014/main" id="{9B1BB83B-3D13-4B29-B736-A34ADAEA58F9}"/>
            </a:ext>
          </a:extLst>
        </xdr:cNvPr>
        <xdr:cNvGrpSpPr/>
      </xdr:nvGrpSpPr>
      <xdr:grpSpPr>
        <a:xfrm>
          <a:off x="12001500" y="5810250"/>
          <a:ext cx="952500" cy="1047750"/>
          <a:chOff x="12001500" y="5810250"/>
          <a:chExt cx="952500" cy="1047750"/>
        </a:xfrm>
      </xdr:grpSpPr>
      <xdr:sp macro="" textlink="">
        <xdr:nvSpPr>
          <xdr:cNvPr id="405" name="hex_selected2#image" descr="##png#1.5" title="close_big_message#sprite">
            <a:extLst>
              <a:ext uri="{FF2B5EF4-FFF2-40B4-BE49-F238E27FC236}">
                <a16:creationId xmlns:a16="http://schemas.microsoft.com/office/drawing/2014/main" id="{D2DF357E-929F-4855-AB84-AD497310C195}"/>
              </a:ext>
            </a:extLst>
          </xdr:cNvPr>
          <xdr:cNvSpPr/>
        </xdr:nvSpPr>
        <xdr:spPr>
          <a:xfrm>
            <a:off x="12001500" y="5810250"/>
            <a:ext cx="952500" cy="1047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21" name="Рисунок 433">
            <a:extLst>
              <a:ext uri="{FF2B5EF4-FFF2-40B4-BE49-F238E27FC236}">
                <a16:creationId xmlns:a16="http://schemas.microsoft.com/office/drawing/2014/main" id="{9ADFB125-CAEA-40EF-8020-05855F845563}"/>
              </a:ext>
            </a:extLst>
          </xdr:cNvPr>
          <xdr:cNvSpPr/>
        </xdr:nvSpPr>
        <xdr:spPr>
          <a:xfrm>
            <a:off x="12106275" y="5905500"/>
            <a:ext cx="762000" cy="843071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noFill/>
          <a:ln w="3175" cap="rnd">
            <a:solidFill>
              <a:srgbClr val="FFFF00"/>
            </a:solidFill>
            <a:prstDash val="solid"/>
            <a:round/>
          </a:ln>
          <a:scene3d>
            <a:camera prst="perspectiveRelaxedModerately" fov="0"/>
            <a:lightRig rig="glow" dir="t"/>
          </a:scene3d>
          <a:sp3d extrusionH="127000" prstMaterial="plastic"/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136</xdr:col>
      <xdr:colOff>0</xdr:colOff>
      <xdr:row>61</xdr:row>
      <xdr:rowOff>0</xdr:rowOff>
    </xdr:from>
    <xdr:to>
      <xdr:col>146</xdr:col>
      <xdr:colOff>0</xdr:colOff>
      <xdr:row>72</xdr:row>
      <xdr:rowOff>0</xdr:rowOff>
    </xdr:to>
    <xdr:grpSp>
      <xdr:nvGrpSpPr>
        <xdr:cNvPr id="634" name="hex_selected#spriteTOP" title="hex_selected#sprite">
          <a:extLst>
            <a:ext uri="{FF2B5EF4-FFF2-40B4-BE49-F238E27FC236}">
              <a16:creationId xmlns:a16="http://schemas.microsoft.com/office/drawing/2014/main" id="{1D8C11F8-59F3-40E6-B13D-B81A2F29E8A5}"/>
            </a:ext>
          </a:extLst>
        </xdr:cNvPr>
        <xdr:cNvGrpSpPr/>
      </xdr:nvGrpSpPr>
      <xdr:grpSpPr>
        <a:xfrm>
          <a:off x="12954000" y="5810250"/>
          <a:ext cx="952500" cy="1047750"/>
          <a:chOff x="12954000" y="5810250"/>
          <a:chExt cx="952500" cy="1047750"/>
        </a:xfrm>
      </xdr:grpSpPr>
      <xdr:sp macro="" textlink="">
        <xdr:nvSpPr>
          <xdr:cNvPr id="447" name="hex_selected#sprite" descr="objects[obj_name].anchor.set(0.5,0.5);&#10;objects[obj_name].visible=false;#objects[obj_name].scale_xy = 0.35;#png#1.5" title="close_big_message#sprite">
            <a:extLst>
              <a:ext uri="{FF2B5EF4-FFF2-40B4-BE49-F238E27FC236}">
                <a16:creationId xmlns:a16="http://schemas.microsoft.com/office/drawing/2014/main" id="{2921FD61-BC2F-49C8-A069-3BD4108D9819}"/>
              </a:ext>
            </a:extLst>
          </xdr:cNvPr>
          <xdr:cNvSpPr/>
        </xdr:nvSpPr>
        <xdr:spPr>
          <a:xfrm>
            <a:off x="12954000" y="5810250"/>
            <a:ext cx="952500" cy="1047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58" name="Рисунок 433">
            <a:extLst>
              <a:ext uri="{FF2B5EF4-FFF2-40B4-BE49-F238E27FC236}">
                <a16:creationId xmlns:a16="http://schemas.microsoft.com/office/drawing/2014/main" id="{EE5A81A3-150F-4B3D-A925-3E05C77549DF}"/>
              </a:ext>
            </a:extLst>
          </xdr:cNvPr>
          <xdr:cNvSpPr/>
        </xdr:nvSpPr>
        <xdr:spPr>
          <a:xfrm>
            <a:off x="13049250" y="5919679"/>
            <a:ext cx="762000" cy="843071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gradFill>
            <a:gsLst>
              <a:gs pos="45000">
                <a:schemeClr val="accent3">
                  <a:lumMod val="67000"/>
                  <a:alpha val="0"/>
                </a:schemeClr>
              </a:gs>
              <a:gs pos="100000">
                <a:srgbClr val="FFFF00"/>
              </a:gs>
            </a:gsLst>
            <a:path path="shape">
              <a:fillToRect l="50000" t="50000" r="50000" b="50000"/>
            </a:path>
          </a:gradFill>
          <a:ln w="3175" cap="rnd">
            <a:solidFill>
              <a:srgbClr val="FFFF00"/>
            </a:solidFill>
            <a:prstDash val="solid"/>
            <a:round/>
          </a:ln>
          <a:scene3d>
            <a:camera prst="perspectiveRelaxedModerately" fov="0"/>
            <a:lightRig rig="glow" dir="t"/>
          </a:scene3d>
          <a:sp3d extrusionH="127000" prstMaterial="plastic"/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106</xdr:col>
      <xdr:colOff>0</xdr:colOff>
      <xdr:row>72</xdr:row>
      <xdr:rowOff>0</xdr:rowOff>
    </xdr:from>
    <xdr:to>
      <xdr:col>116</xdr:col>
      <xdr:colOff>0</xdr:colOff>
      <xdr:row>83</xdr:row>
      <xdr:rowOff>0</xdr:rowOff>
    </xdr:to>
    <xdr:grpSp>
      <xdr:nvGrpSpPr>
        <xdr:cNvPr id="682" name="icon_1#imageTOP" title="icon_1#image">
          <a:extLst>
            <a:ext uri="{FF2B5EF4-FFF2-40B4-BE49-F238E27FC236}">
              <a16:creationId xmlns:a16="http://schemas.microsoft.com/office/drawing/2014/main" id="{24228231-5791-430D-A127-1AE9A7985B9F}"/>
            </a:ext>
          </a:extLst>
        </xdr:cNvPr>
        <xdr:cNvGrpSpPr/>
      </xdr:nvGrpSpPr>
      <xdr:grpSpPr>
        <a:xfrm>
          <a:off x="10096500" y="6858000"/>
          <a:ext cx="952500" cy="1047750"/>
          <a:chOff x="10096500" y="6858000"/>
          <a:chExt cx="952500" cy="1047750"/>
        </a:xfrm>
      </xdr:grpSpPr>
      <xdr:grpSp>
        <xdr:nvGrpSpPr>
          <xdr:cNvPr id="371" name="icon_1#imageTOP" title="icon_1#image">
            <a:extLst>
              <a:ext uri="{FF2B5EF4-FFF2-40B4-BE49-F238E27FC236}">
                <a16:creationId xmlns:a16="http://schemas.microsoft.com/office/drawing/2014/main" id="{C2B1861A-38BF-49E7-95A1-A4CA906C776E}"/>
              </a:ext>
            </a:extLst>
          </xdr:cNvPr>
          <xdr:cNvGrpSpPr/>
        </xdr:nvGrpSpPr>
        <xdr:grpSpPr>
          <a:xfrm>
            <a:off x="10096500" y="6858000"/>
            <a:ext cx="952500" cy="1047750"/>
            <a:chOff x="10096500" y="6858000"/>
            <a:chExt cx="952500" cy="1047750"/>
          </a:xfrm>
        </xdr:grpSpPr>
        <xdr:sp macro="" textlink="">
          <xdr:nvSpPr>
            <xdr:cNvPr id="570" name="icon_1#image" descr="Кода нет, это картинка#Кода нет, это картинка#png#1.5" title="close_big_message#sprite">
              <a:extLst>
                <a:ext uri="{FF2B5EF4-FFF2-40B4-BE49-F238E27FC236}">
                  <a16:creationId xmlns:a16="http://schemas.microsoft.com/office/drawing/2014/main" id="{9FA2F76C-3847-468A-A714-09681500EE13}"/>
                </a:ext>
              </a:extLst>
            </xdr:cNvPr>
            <xdr:cNvSpPr/>
          </xdr:nvSpPr>
          <xdr:spPr>
            <a:xfrm>
              <a:off x="10096500" y="6858000"/>
              <a:ext cx="952500" cy="1047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54" name="Рисунок 365" descr="Краб">
            <a:extLst>
              <a:ext uri="{FF2B5EF4-FFF2-40B4-BE49-F238E27FC236}">
                <a16:creationId xmlns:a16="http://schemas.microsoft.com/office/drawing/2014/main" id="{555C1999-820F-419A-861B-BD2CBDDA74D5}"/>
              </a:ext>
            </a:extLst>
          </xdr:cNvPr>
          <xdr:cNvSpPr/>
        </xdr:nvSpPr>
        <xdr:spPr>
          <a:xfrm>
            <a:off x="10343740" y="7140960"/>
            <a:ext cx="452438" cy="476251"/>
          </a:xfrm>
          <a:custGeom>
            <a:avLst/>
            <a:gdLst>
              <a:gd name="connsiteX0" fmla="*/ 392126 w 452438"/>
              <a:gd name="connsiteY0" fmla="*/ 256394 h 476250"/>
              <a:gd name="connsiteX1" fmla="*/ 383791 w 452438"/>
              <a:gd name="connsiteY1" fmla="*/ 252822 h 476250"/>
              <a:gd name="connsiteX2" fmla="*/ 354621 w 452438"/>
              <a:gd name="connsiteY2" fmla="*/ 252822 h 476250"/>
              <a:gd name="connsiteX3" fmla="*/ 352240 w 452438"/>
              <a:gd name="connsiteY3" fmla="*/ 229605 h 476250"/>
              <a:gd name="connsiteX4" fmla="*/ 404627 w 452438"/>
              <a:gd name="connsiteY4" fmla="*/ 177217 h 476250"/>
              <a:gd name="connsiteX5" fmla="*/ 455229 w 452438"/>
              <a:gd name="connsiteY5" fmla="*/ 92088 h 476250"/>
              <a:gd name="connsiteX6" fmla="*/ 383791 w 452438"/>
              <a:gd name="connsiteY6" fmla="*/ 2791 h 476250"/>
              <a:gd name="connsiteX7" fmla="*/ 383791 w 452438"/>
              <a:gd name="connsiteY7" fmla="*/ 133760 h 476250"/>
              <a:gd name="connsiteX8" fmla="*/ 315330 w 452438"/>
              <a:gd name="connsiteY8" fmla="*/ 65298 h 476250"/>
              <a:gd name="connsiteX9" fmla="*/ 312354 w 452438"/>
              <a:gd name="connsiteY9" fmla="*/ 92088 h 476250"/>
              <a:gd name="connsiteX10" fmla="*/ 368908 w 452438"/>
              <a:gd name="connsiteY10" fmla="*/ 179599 h 476250"/>
              <a:gd name="connsiteX11" fmla="*/ 343310 w 452438"/>
              <a:gd name="connsiteY11" fmla="*/ 205197 h 476250"/>
              <a:gd name="connsiteX12" fmla="*/ 314735 w 452438"/>
              <a:gd name="connsiteY12" fmla="*/ 186147 h 476250"/>
              <a:gd name="connsiteX13" fmla="*/ 277230 w 452438"/>
              <a:gd name="connsiteY13" fmla="*/ 177813 h 476250"/>
              <a:gd name="connsiteX14" fmla="*/ 288541 w 452438"/>
              <a:gd name="connsiteY14" fmla="*/ 157572 h 476250"/>
              <a:gd name="connsiteX15" fmla="*/ 264729 w 452438"/>
              <a:gd name="connsiteY15" fmla="*/ 133760 h 476250"/>
              <a:gd name="connsiteX16" fmla="*/ 240916 w 452438"/>
              <a:gd name="connsiteY16" fmla="*/ 157572 h 476250"/>
              <a:gd name="connsiteX17" fmla="*/ 244488 w 452438"/>
              <a:gd name="connsiteY17" fmla="*/ 170074 h 476250"/>
              <a:gd name="connsiteX18" fmla="*/ 243297 w 452438"/>
              <a:gd name="connsiteY18" fmla="*/ 170074 h 476250"/>
              <a:gd name="connsiteX19" fmla="*/ 238535 w 452438"/>
              <a:gd name="connsiteY19" fmla="*/ 169478 h 476250"/>
              <a:gd name="connsiteX20" fmla="*/ 229010 w 452438"/>
              <a:gd name="connsiteY20" fmla="*/ 169478 h 476250"/>
              <a:gd name="connsiteX21" fmla="*/ 219485 w 452438"/>
              <a:gd name="connsiteY21" fmla="*/ 169478 h 476250"/>
              <a:gd name="connsiteX22" fmla="*/ 214127 w 452438"/>
              <a:gd name="connsiteY22" fmla="*/ 170074 h 476250"/>
              <a:gd name="connsiteX23" fmla="*/ 212936 w 452438"/>
              <a:gd name="connsiteY23" fmla="*/ 170074 h 476250"/>
              <a:gd name="connsiteX24" fmla="*/ 216508 w 452438"/>
              <a:gd name="connsiteY24" fmla="*/ 157572 h 476250"/>
              <a:gd name="connsiteX25" fmla="*/ 192696 w 452438"/>
              <a:gd name="connsiteY25" fmla="*/ 133760 h 476250"/>
              <a:gd name="connsiteX26" fmla="*/ 168883 w 452438"/>
              <a:gd name="connsiteY26" fmla="*/ 157572 h 476250"/>
              <a:gd name="connsiteX27" fmla="*/ 180194 w 452438"/>
              <a:gd name="connsiteY27" fmla="*/ 177813 h 476250"/>
              <a:gd name="connsiteX28" fmla="*/ 142689 w 452438"/>
              <a:gd name="connsiteY28" fmla="*/ 186147 h 476250"/>
              <a:gd name="connsiteX29" fmla="*/ 114114 w 452438"/>
              <a:gd name="connsiteY29" fmla="*/ 205197 h 476250"/>
              <a:gd name="connsiteX30" fmla="*/ 88516 w 452438"/>
              <a:gd name="connsiteY30" fmla="*/ 179599 h 476250"/>
              <a:gd name="connsiteX31" fmla="*/ 145666 w 452438"/>
              <a:gd name="connsiteY31" fmla="*/ 92088 h 476250"/>
              <a:gd name="connsiteX32" fmla="*/ 142689 w 452438"/>
              <a:gd name="connsiteY32" fmla="*/ 65298 h 476250"/>
              <a:gd name="connsiteX33" fmla="*/ 74228 w 452438"/>
              <a:gd name="connsiteY33" fmla="*/ 133760 h 476250"/>
              <a:gd name="connsiteX34" fmla="*/ 74228 w 452438"/>
              <a:gd name="connsiteY34" fmla="*/ 2791 h 476250"/>
              <a:gd name="connsiteX35" fmla="*/ 2791 w 452438"/>
              <a:gd name="connsiteY35" fmla="*/ 92088 h 476250"/>
              <a:gd name="connsiteX36" fmla="*/ 53392 w 452438"/>
              <a:gd name="connsiteY36" fmla="*/ 177813 h 476250"/>
              <a:gd name="connsiteX37" fmla="*/ 105780 w 452438"/>
              <a:gd name="connsiteY37" fmla="*/ 230200 h 476250"/>
              <a:gd name="connsiteX38" fmla="*/ 103399 w 452438"/>
              <a:gd name="connsiteY38" fmla="*/ 252822 h 476250"/>
              <a:gd name="connsiteX39" fmla="*/ 74228 w 452438"/>
              <a:gd name="connsiteY39" fmla="*/ 252822 h 476250"/>
              <a:gd name="connsiteX40" fmla="*/ 65894 w 452438"/>
              <a:gd name="connsiteY40" fmla="*/ 256394 h 476250"/>
              <a:gd name="connsiteX41" fmla="*/ 30175 w 452438"/>
              <a:gd name="connsiteY41" fmla="*/ 292113 h 476250"/>
              <a:gd name="connsiteX42" fmla="*/ 30175 w 452438"/>
              <a:gd name="connsiteY42" fmla="*/ 308782 h 476250"/>
              <a:gd name="connsiteX43" fmla="*/ 38509 w 452438"/>
              <a:gd name="connsiteY43" fmla="*/ 312354 h 476250"/>
              <a:gd name="connsiteX44" fmla="*/ 46844 w 452438"/>
              <a:gd name="connsiteY44" fmla="*/ 308782 h 476250"/>
              <a:gd name="connsiteX45" fmla="*/ 78991 w 452438"/>
              <a:gd name="connsiteY45" fmla="*/ 276635 h 476250"/>
              <a:gd name="connsiteX46" fmla="*/ 100422 w 452438"/>
              <a:gd name="connsiteY46" fmla="*/ 276635 h 476250"/>
              <a:gd name="connsiteX47" fmla="*/ 96850 w 452438"/>
              <a:gd name="connsiteY47" fmla="*/ 306400 h 476250"/>
              <a:gd name="connsiteX48" fmla="*/ 86134 w 452438"/>
              <a:gd name="connsiteY48" fmla="*/ 306400 h 476250"/>
              <a:gd name="connsiteX49" fmla="*/ 77800 w 452438"/>
              <a:gd name="connsiteY49" fmla="*/ 309972 h 476250"/>
              <a:gd name="connsiteX50" fmla="*/ 42081 w 452438"/>
              <a:gd name="connsiteY50" fmla="*/ 345691 h 476250"/>
              <a:gd name="connsiteX51" fmla="*/ 42081 w 452438"/>
              <a:gd name="connsiteY51" fmla="*/ 362360 h 476250"/>
              <a:gd name="connsiteX52" fmla="*/ 50416 w 452438"/>
              <a:gd name="connsiteY52" fmla="*/ 365932 h 476250"/>
              <a:gd name="connsiteX53" fmla="*/ 58750 w 452438"/>
              <a:gd name="connsiteY53" fmla="*/ 362360 h 476250"/>
              <a:gd name="connsiteX54" fmla="*/ 90897 w 452438"/>
              <a:gd name="connsiteY54" fmla="*/ 330213 h 476250"/>
              <a:gd name="connsiteX55" fmla="*/ 95659 w 452438"/>
              <a:gd name="connsiteY55" fmla="*/ 330213 h 476250"/>
              <a:gd name="connsiteX56" fmla="*/ 109947 w 452438"/>
              <a:gd name="connsiteY56" fmla="*/ 355216 h 476250"/>
              <a:gd name="connsiteX57" fmla="*/ 77800 w 452438"/>
              <a:gd name="connsiteY57" fmla="*/ 387363 h 476250"/>
              <a:gd name="connsiteX58" fmla="*/ 74228 w 452438"/>
              <a:gd name="connsiteY58" fmla="*/ 395697 h 476250"/>
              <a:gd name="connsiteX59" fmla="*/ 74228 w 452438"/>
              <a:gd name="connsiteY59" fmla="*/ 443323 h 476250"/>
              <a:gd name="connsiteX60" fmla="*/ 86134 w 452438"/>
              <a:gd name="connsiteY60" fmla="*/ 455229 h 476250"/>
              <a:gd name="connsiteX61" fmla="*/ 98041 w 452438"/>
              <a:gd name="connsiteY61" fmla="*/ 443323 h 476250"/>
              <a:gd name="connsiteX62" fmla="*/ 98041 w 452438"/>
              <a:gd name="connsiteY62" fmla="*/ 400460 h 476250"/>
              <a:gd name="connsiteX63" fmla="*/ 134355 w 452438"/>
              <a:gd name="connsiteY63" fmla="*/ 364146 h 476250"/>
              <a:gd name="connsiteX64" fmla="*/ 164716 w 452438"/>
              <a:gd name="connsiteY64" fmla="*/ 371290 h 476250"/>
              <a:gd name="connsiteX65" fmla="*/ 148642 w 452438"/>
              <a:gd name="connsiteY65" fmla="*/ 387363 h 476250"/>
              <a:gd name="connsiteX66" fmla="*/ 145666 w 452438"/>
              <a:gd name="connsiteY66" fmla="*/ 395697 h 476250"/>
              <a:gd name="connsiteX67" fmla="*/ 145666 w 452438"/>
              <a:gd name="connsiteY67" fmla="*/ 467135 h 476250"/>
              <a:gd name="connsiteX68" fmla="*/ 157572 w 452438"/>
              <a:gd name="connsiteY68" fmla="*/ 479041 h 476250"/>
              <a:gd name="connsiteX69" fmla="*/ 169478 w 452438"/>
              <a:gd name="connsiteY69" fmla="*/ 467135 h 476250"/>
              <a:gd name="connsiteX70" fmla="*/ 169478 w 452438"/>
              <a:gd name="connsiteY70" fmla="*/ 400460 h 476250"/>
              <a:gd name="connsiteX71" fmla="*/ 192100 w 452438"/>
              <a:gd name="connsiteY71" fmla="*/ 377838 h 476250"/>
              <a:gd name="connsiteX72" fmla="*/ 214127 w 452438"/>
              <a:gd name="connsiteY72" fmla="*/ 383196 h 476250"/>
              <a:gd name="connsiteX73" fmla="*/ 219485 w 452438"/>
              <a:gd name="connsiteY73" fmla="*/ 383791 h 476250"/>
              <a:gd name="connsiteX74" fmla="*/ 229010 w 452438"/>
              <a:gd name="connsiteY74" fmla="*/ 383791 h 476250"/>
              <a:gd name="connsiteX75" fmla="*/ 237939 w 452438"/>
              <a:gd name="connsiteY75" fmla="*/ 383791 h 476250"/>
              <a:gd name="connsiteX76" fmla="*/ 243297 w 452438"/>
              <a:gd name="connsiteY76" fmla="*/ 383196 h 476250"/>
              <a:gd name="connsiteX77" fmla="*/ 265324 w 452438"/>
              <a:gd name="connsiteY77" fmla="*/ 377838 h 476250"/>
              <a:gd name="connsiteX78" fmla="*/ 287946 w 452438"/>
              <a:gd name="connsiteY78" fmla="*/ 400460 h 476250"/>
              <a:gd name="connsiteX79" fmla="*/ 287946 w 452438"/>
              <a:gd name="connsiteY79" fmla="*/ 467135 h 476250"/>
              <a:gd name="connsiteX80" fmla="*/ 299852 w 452438"/>
              <a:gd name="connsiteY80" fmla="*/ 479041 h 476250"/>
              <a:gd name="connsiteX81" fmla="*/ 311758 w 452438"/>
              <a:gd name="connsiteY81" fmla="*/ 467135 h 476250"/>
              <a:gd name="connsiteX82" fmla="*/ 311758 w 452438"/>
              <a:gd name="connsiteY82" fmla="*/ 395697 h 476250"/>
              <a:gd name="connsiteX83" fmla="*/ 308186 w 452438"/>
              <a:gd name="connsiteY83" fmla="*/ 387363 h 476250"/>
              <a:gd name="connsiteX84" fmla="*/ 292113 w 452438"/>
              <a:gd name="connsiteY84" fmla="*/ 371290 h 476250"/>
              <a:gd name="connsiteX85" fmla="*/ 322474 w 452438"/>
              <a:gd name="connsiteY85" fmla="*/ 364146 h 476250"/>
              <a:gd name="connsiteX86" fmla="*/ 358788 w 452438"/>
              <a:gd name="connsiteY86" fmla="*/ 400460 h 476250"/>
              <a:gd name="connsiteX87" fmla="*/ 358788 w 452438"/>
              <a:gd name="connsiteY87" fmla="*/ 443323 h 476250"/>
              <a:gd name="connsiteX88" fmla="*/ 370694 w 452438"/>
              <a:gd name="connsiteY88" fmla="*/ 455229 h 476250"/>
              <a:gd name="connsiteX89" fmla="*/ 382601 w 452438"/>
              <a:gd name="connsiteY89" fmla="*/ 443323 h 476250"/>
              <a:gd name="connsiteX90" fmla="*/ 382601 w 452438"/>
              <a:gd name="connsiteY90" fmla="*/ 395697 h 476250"/>
              <a:gd name="connsiteX91" fmla="*/ 379029 w 452438"/>
              <a:gd name="connsiteY91" fmla="*/ 387363 h 476250"/>
              <a:gd name="connsiteX92" fmla="*/ 348072 w 452438"/>
              <a:gd name="connsiteY92" fmla="*/ 355216 h 476250"/>
              <a:gd name="connsiteX93" fmla="*/ 362360 w 452438"/>
              <a:gd name="connsiteY93" fmla="*/ 330213 h 476250"/>
              <a:gd name="connsiteX94" fmla="*/ 367122 w 452438"/>
              <a:gd name="connsiteY94" fmla="*/ 330213 h 476250"/>
              <a:gd name="connsiteX95" fmla="*/ 399269 w 452438"/>
              <a:gd name="connsiteY95" fmla="*/ 362360 h 476250"/>
              <a:gd name="connsiteX96" fmla="*/ 407604 w 452438"/>
              <a:gd name="connsiteY96" fmla="*/ 365932 h 476250"/>
              <a:gd name="connsiteX97" fmla="*/ 415938 w 452438"/>
              <a:gd name="connsiteY97" fmla="*/ 362360 h 476250"/>
              <a:gd name="connsiteX98" fmla="*/ 415938 w 452438"/>
              <a:gd name="connsiteY98" fmla="*/ 345691 h 476250"/>
              <a:gd name="connsiteX99" fmla="*/ 380219 w 452438"/>
              <a:gd name="connsiteY99" fmla="*/ 309972 h 476250"/>
              <a:gd name="connsiteX100" fmla="*/ 371885 w 452438"/>
              <a:gd name="connsiteY100" fmla="*/ 306400 h 476250"/>
              <a:gd name="connsiteX101" fmla="*/ 360574 w 452438"/>
              <a:gd name="connsiteY101" fmla="*/ 306400 h 476250"/>
              <a:gd name="connsiteX102" fmla="*/ 357002 w 452438"/>
              <a:gd name="connsiteY102" fmla="*/ 276635 h 476250"/>
              <a:gd name="connsiteX103" fmla="*/ 378433 w 452438"/>
              <a:gd name="connsiteY103" fmla="*/ 276635 h 476250"/>
              <a:gd name="connsiteX104" fmla="*/ 410580 w 452438"/>
              <a:gd name="connsiteY104" fmla="*/ 308782 h 476250"/>
              <a:gd name="connsiteX105" fmla="*/ 419510 w 452438"/>
              <a:gd name="connsiteY105" fmla="*/ 312354 h 476250"/>
              <a:gd name="connsiteX106" fmla="*/ 427844 w 452438"/>
              <a:gd name="connsiteY106" fmla="*/ 308782 h 476250"/>
              <a:gd name="connsiteX107" fmla="*/ 427844 w 452438"/>
              <a:gd name="connsiteY107" fmla="*/ 292113 h 476250"/>
              <a:gd name="connsiteX108" fmla="*/ 392126 w 452438"/>
              <a:gd name="connsiteY108" fmla="*/ 256394 h 476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</a:cxnLst>
            <a:rect l="l" t="t" r="r" b="b"/>
            <a:pathLst>
              <a:path w="452438" h="476250">
                <a:moveTo>
                  <a:pt x="392126" y="256394"/>
                </a:moveTo>
                <a:cubicBezTo>
                  <a:pt x="389744" y="254013"/>
                  <a:pt x="386768" y="252822"/>
                  <a:pt x="383791" y="252822"/>
                </a:cubicBezTo>
                <a:lnTo>
                  <a:pt x="354621" y="252822"/>
                </a:lnTo>
                <a:lnTo>
                  <a:pt x="352240" y="229605"/>
                </a:lnTo>
                <a:lnTo>
                  <a:pt x="404627" y="177217"/>
                </a:lnTo>
                <a:cubicBezTo>
                  <a:pt x="433798" y="166502"/>
                  <a:pt x="455229" y="132569"/>
                  <a:pt x="455229" y="92088"/>
                </a:cubicBezTo>
                <a:cubicBezTo>
                  <a:pt x="455229" y="42677"/>
                  <a:pt x="423082" y="2791"/>
                  <a:pt x="383791" y="2791"/>
                </a:cubicBezTo>
                <a:lnTo>
                  <a:pt x="383791" y="133760"/>
                </a:lnTo>
                <a:lnTo>
                  <a:pt x="315330" y="65298"/>
                </a:lnTo>
                <a:cubicBezTo>
                  <a:pt x="313544" y="73633"/>
                  <a:pt x="312354" y="82563"/>
                  <a:pt x="312354" y="92088"/>
                </a:cubicBezTo>
                <a:cubicBezTo>
                  <a:pt x="312354" y="134950"/>
                  <a:pt x="336761" y="170669"/>
                  <a:pt x="368908" y="179599"/>
                </a:cubicBezTo>
                <a:lnTo>
                  <a:pt x="343310" y="205197"/>
                </a:lnTo>
                <a:cubicBezTo>
                  <a:pt x="336761" y="195672"/>
                  <a:pt x="326641" y="188528"/>
                  <a:pt x="314735" y="186147"/>
                </a:cubicBezTo>
                <a:lnTo>
                  <a:pt x="277230" y="177813"/>
                </a:lnTo>
                <a:cubicBezTo>
                  <a:pt x="283779" y="173646"/>
                  <a:pt x="288541" y="166502"/>
                  <a:pt x="288541" y="157572"/>
                </a:cubicBezTo>
                <a:cubicBezTo>
                  <a:pt x="288541" y="144475"/>
                  <a:pt x="277825" y="133760"/>
                  <a:pt x="264729" y="133760"/>
                </a:cubicBezTo>
                <a:cubicBezTo>
                  <a:pt x="251632" y="133760"/>
                  <a:pt x="240916" y="144475"/>
                  <a:pt x="240916" y="157572"/>
                </a:cubicBezTo>
                <a:cubicBezTo>
                  <a:pt x="240916" y="162335"/>
                  <a:pt x="242107" y="166502"/>
                  <a:pt x="244488" y="170074"/>
                </a:cubicBezTo>
                <a:lnTo>
                  <a:pt x="243297" y="170074"/>
                </a:lnTo>
                <a:cubicBezTo>
                  <a:pt x="241511" y="169478"/>
                  <a:pt x="240321" y="169478"/>
                  <a:pt x="238535" y="169478"/>
                </a:cubicBezTo>
                <a:lnTo>
                  <a:pt x="229010" y="169478"/>
                </a:lnTo>
                <a:lnTo>
                  <a:pt x="219485" y="169478"/>
                </a:lnTo>
                <a:cubicBezTo>
                  <a:pt x="217699" y="169478"/>
                  <a:pt x="215913" y="169478"/>
                  <a:pt x="214127" y="170074"/>
                </a:cubicBezTo>
                <a:lnTo>
                  <a:pt x="212936" y="170074"/>
                </a:lnTo>
                <a:cubicBezTo>
                  <a:pt x="215317" y="166502"/>
                  <a:pt x="216508" y="161739"/>
                  <a:pt x="216508" y="157572"/>
                </a:cubicBezTo>
                <a:cubicBezTo>
                  <a:pt x="216508" y="144475"/>
                  <a:pt x="205792" y="133760"/>
                  <a:pt x="192696" y="133760"/>
                </a:cubicBezTo>
                <a:cubicBezTo>
                  <a:pt x="179599" y="133760"/>
                  <a:pt x="168883" y="144475"/>
                  <a:pt x="168883" y="157572"/>
                </a:cubicBezTo>
                <a:cubicBezTo>
                  <a:pt x="168883" y="165906"/>
                  <a:pt x="173050" y="173646"/>
                  <a:pt x="180194" y="177813"/>
                </a:cubicBezTo>
                <a:lnTo>
                  <a:pt x="142689" y="186147"/>
                </a:lnTo>
                <a:cubicBezTo>
                  <a:pt x="130783" y="188528"/>
                  <a:pt x="120663" y="195672"/>
                  <a:pt x="114114" y="205197"/>
                </a:cubicBezTo>
                <a:lnTo>
                  <a:pt x="88516" y="179599"/>
                </a:lnTo>
                <a:cubicBezTo>
                  <a:pt x="121258" y="170669"/>
                  <a:pt x="145666" y="134950"/>
                  <a:pt x="145666" y="92088"/>
                </a:cubicBezTo>
                <a:cubicBezTo>
                  <a:pt x="145666" y="82563"/>
                  <a:pt x="144475" y="73633"/>
                  <a:pt x="142689" y="65298"/>
                </a:cubicBezTo>
                <a:lnTo>
                  <a:pt x="74228" y="133760"/>
                </a:lnTo>
                <a:lnTo>
                  <a:pt x="74228" y="2791"/>
                </a:lnTo>
                <a:cubicBezTo>
                  <a:pt x="34937" y="2791"/>
                  <a:pt x="2791" y="42677"/>
                  <a:pt x="2791" y="92088"/>
                </a:cubicBezTo>
                <a:cubicBezTo>
                  <a:pt x="2791" y="132569"/>
                  <a:pt x="24222" y="166502"/>
                  <a:pt x="53392" y="177813"/>
                </a:cubicBezTo>
                <a:lnTo>
                  <a:pt x="105780" y="230200"/>
                </a:lnTo>
                <a:lnTo>
                  <a:pt x="103399" y="252822"/>
                </a:lnTo>
                <a:lnTo>
                  <a:pt x="74228" y="252822"/>
                </a:lnTo>
                <a:cubicBezTo>
                  <a:pt x="71252" y="252822"/>
                  <a:pt x="68275" y="254013"/>
                  <a:pt x="65894" y="256394"/>
                </a:cubicBezTo>
                <a:lnTo>
                  <a:pt x="30175" y="292113"/>
                </a:lnTo>
                <a:cubicBezTo>
                  <a:pt x="25412" y="296875"/>
                  <a:pt x="25412" y="304019"/>
                  <a:pt x="30175" y="308782"/>
                </a:cubicBezTo>
                <a:cubicBezTo>
                  <a:pt x="32556" y="311163"/>
                  <a:pt x="35533" y="312354"/>
                  <a:pt x="38509" y="312354"/>
                </a:cubicBezTo>
                <a:cubicBezTo>
                  <a:pt x="41486" y="312354"/>
                  <a:pt x="44462" y="311163"/>
                  <a:pt x="46844" y="308782"/>
                </a:cubicBezTo>
                <a:lnTo>
                  <a:pt x="78991" y="276635"/>
                </a:lnTo>
                <a:lnTo>
                  <a:pt x="100422" y="276635"/>
                </a:lnTo>
                <a:lnTo>
                  <a:pt x="96850" y="306400"/>
                </a:lnTo>
                <a:lnTo>
                  <a:pt x="86134" y="306400"/>
                </a:lnTo>
                <a:cubicBezTo>
                  <a:pt x="83158" y="306400"/>
                  <a:pt x="80181" y="307591"/>
                  <a:pt x="77800" y="309972"/>
                </a:cubicBezTo>
                <a:lnTo>
                  <a:pt x="42081" y="345691"/>
                </a:lnTo>
                <a:cubicBezTo>
                  <a:pt x="37319" y="350454"/>
                  <a:pt x="37319" y="357597"/>
                  <a:pt x="42081" y="362360"/>
                </a:cubicBezTo>
                <a:cubicBezTo>
                  <a:pt x="44462" y="364741"/>
                  <a:pt x="47439" y="365932"/>
                  <a:pt x="50416" y="365932"/>
                </a:cubicBezTo>
                <a:cubicBezTo>
                  <a:pt x="53392" y="365932"/>
                  <a:pt x="56369" y="364741"/>
                  <a:pt x="58750" y="362360"/>
                </a:cubicBezTo>
                <a:lnTo>
                  <a:pt x="90897" y="330213"/>
                </a:lnTo>
                <a:lnTo>
                  <a:pt x="95659" y="330213"/>
                </a:lnTo>
                <a:cubicBezTo>
                  <a:pt x="96850" y="340333"/>
                  <a:pt x="102208" y="349263"/>
                  <a:pt x="109947" y="355216"/>
                </a:cubicBezTo>
                <a:lnTo>
                  <a:pt x="77800" y="387363"/>
                </a:lnTo>
                <a:cubicBezTo>
                  <a:pt x="75419" y="389744"/>
                  <a:pt x="74228" y="392721"/>
                  <a:pt x="74228" y="395697"/>
                </a:cubicBezTo>
                <a:lnTo>
                  <a:pt x="74228" y="443323"/>
                </a:lnTo>
                <a:cubicBezTo>
                  <a:pt x="74228" y="449871"/>
                  <a:pt x="79586" y="455229"/>
                  <a:pt x="86134" y="455229"/>
                </a:cubicBezTo>
                <a:cubicBezTo>
                  <a:pt x="92683" y="455229"/>
                  <a:pt x="98041" y="449871"/>
                  <a:pt x="98041" y="443323"/>
                </a:cubicBezTo>
                <a:lnTo>
                  <a:pt x="98041" y="400460"/>
                </a:lnTo>
                <a:lnTo>
                  <a:pt x="134355" y="364146"/>
                </a:lnTo>
                <a:lnTo>
                  <a:pt x="164716" y="371290"/>
                </a:lnTo>
                <a:lnTo>
                  <a:pt x="148642" y="387363"/>
                </a:lnTo>
                <a:cubicBezTo>
                  <a:pt x="146856" y="389744"/>
                  <a:pt x="145666" y="392721"/>
                  <a:pt x="145666" y="395697"/>
                </a:cubicBezTo>
                <a:lnTo>
                  <a:pt x="145666" y="467135"/>
                </a:lnTo>
                <a:cubicBezTo>
                  <a:pt x="145666" y="473684"/>
                  <a:pt x="151024" y="479041"/>
                  <a:pt x="157572" y="479041"/>
                </a:cubicBezTo>
                <a:cubicBezTo>
                  <a:pt x="164121" y="479041"/>
                  <a:pt x="169478" y="473684"/>
                  <a:pt x="169478" y="467135"/>
                </a:cubicBezTo>
                <a:lnTo>
                  <a:pt x="169478" y="400460"/>
                </a:lnTo>
                <a:lnTo>
                  <a:pt x="192100" y="377838"/>
                </a:lnTo>
                <a:lnTo>
                  <a:pt x="214127" y="383196"/>
                </a:lnTo>
                <a:cubicBezTo>
                  <a:pt x="215913" y="383791"/>
                  <a:pt x="217699" y="383791"/>
                  <a:pt x="219485" y="383791"/>
                </a:cubicBezTo>
                <a:lnTo>
                  <a:pt x="229010" y="383791"/>
                </a:lnTo>
                <a:lnTo>
                  <a:pt x="237939" y="383791"/>
                </a:lnTo>
                <a:cubicBezTo>
                  <a:pt x="239725" y="383791"/>
                  <a:pt x="241511" y="383791"/>
                  <a:pt x="243297" y="383196"/>
                </a:cubicBezTo>
                <a:lnTo>
                  <a:pt x="265324" y="377838"/>
                </a:lnTo>
                <a:lnTo>
                  <a:pt x="287946" y="400460"/>
                </a:lnTo>
                <a:lnTo>
                  <a:pt x="287946" y="467135"/>
                </a:lnTo>
                <a:cubicBezTo>
                  <a:pt x="287946" y="473684"/>
                  <a:pt x="293304" y="479041"/>
                  <a:pt x="299852" y="479041"/>
                </a:cubicBezTo>
                <a:cubicBezTo>
                  <a:pt x="306400" y="479041"/>
                  <a:pt x="311758" y="473684"/>
                  <a:pt x="311758" y="467135"/>
                </a:cubicBezTo>
                <a:lnTo>
                  <a:pt x="311758" y="395697"/>
                </a:lnTo>
                <a:cubicBezTo>
                  <a:pt x="311758" y="392721"/>
                  <a:pt x="310568" y="389744"/>
                  <a:pt x="308186" y="387363"/>
                </a:cubicBezTo>
                <a:lnTo>
                  <a:pt x="292113" y="371290"/>
                </a:lnTo>
                <a:lnTo>
                  <a:pt x="322474" y="364146"/>
                </a:lnTo>
                <a:lnTo>
                  <a:pt x="358788" y="400460"/>
                </a:lnTo>
                <a:lnTo>
                  <a:pt x="358788" y="443323"/>
                </a:lnTo>
                <a:cubicBezTo>
                  <a:pt x="358788" y="449871"/>
                  <a:pt x="364146" y="455229"/>
                  <a:pt x="370694" y="455229"/>
                </a:cubicBezTo>
                <a:cubicBezTo>
                  <a:pt x="377243" y="455229"/>
                  <a:pt x="382601" y="449871"/>
                  <a:pt x="382601" y="443323"/>
                </a:cubicBezTo>
                <a:lnTo>
                  <a:pt x="382601" y="395697"/>
                </a:lnTo>
                <a:cubicBezTo>
                  <a:pt x="382601" y="392721"/>
                  <a:pt x="381410" y="389744"/>
                  <a:pt x="379029" y="387363"/>
                </a:cubicBezTo>
                <a:lnTo>
                  <a:pt x="348072" y="355216"/>
                </a:lnTo>
                <a:cubicBezTo>
                  <a:pt x="355811" y="349263"/>
                  <a:pt x="361169" y="340333"/>
                  <a:pt x="362360" y="330213"/>
                </a:cubicBezTo>
                <a:lnTo>
                  <a:pt x="367122" y="330213"/>
                </a:lnTo>
                <a:lnTo>
                  <a:pt x="399269" y="362360"/>
                </a:lnTo>
                <a:cubicBezTo>
                  <a:pt x="401651" y="364741"/>
                  <a:pt x="404627" y="365932"/>
                  <a:pt x="407604" y="365932"/>
                </a:cubicBezTo>
                <a:cubicBezTo>
                  <a:pt x="410580" y="365932"/>
                  <a:pt x="413557" y="364741"/>
                  <a:pt x="415938" y="362360"/>
                </a:cubicBezTo>
                <a:cubicBezTo>
                  <a:pt x="420701" y="357597"/>
                  <a:pt x="420701" y="350454"/>
                  <a:pt x="415938" y="345691"/>
                </a:cubicBezTo>
                <a:lnTo>
                  <a:pt x="380219" y="309972"/>
                </a:lnTo>
                <a:cubicBezTo>
                  <a:pt x="377838" y="307591"/>
                  <a:pt x="374862" y="306400"/>
                  <a:pt x="371885" y="306400"/>
                </a:cubicBezTo>
                <a:lnTo>
                  <a:pt x="360574" y="306400"/>
                </a:lnTo>
                <a:lnTo>
                  <a:pt x="357002" y="276635"/>
                </a:lnTo>
                <a:lnTo>
                  <a:pt x="378433" y="276635"/>
                </a:lnTo>
                <a:lnTo>
                  <a:pt x="410580" y="308782"/>
                </a:lnTo>
                <a:cubicBezTo>
                  <a:pt x="413557" y="311163"/>
                  <a:pt x="416533" y="312354"/>
                  <a:pt x="419510" y="312354"/>
                </a:cubicBezTo>
                <a:cubicBezTo>
                  <a:pt x="422487" y="312354"/>
                  <a:pt x="425463" y="311163"/>
                  <a:pt x="427844" y="308782"/>
                </a:cubicBezTo>
                <a:cubicBezTo>
                  <a:pt x="432607" y="304019"/>
                  <a:pt x="432607" y="296875"/>
                  <a:pt x="427844" y="292113"/>
                </a:cubicBezTo>
                <a:lnTo>
                  <a:pt x="392126" y="256394"/>
                </a:lnTo>
                <a:close/>
              </a:path>
            </a:pathLst>
          </a:custGeom>
          <a:solidFill>
            <a:srgbClr val="FFFF00"/>
          </a:solidFill>
          <a:ln w="12700" cap="flat">
            <a:solidFill>
              <a:schemeClr val="tx1"/>
            </a:solidFill>
            <a:prstDash val="solid"/>
            <a:miter/>
          </a:ln>
          <a:effectLst>
            <a:outerShdw blurRad="50800" dist="76200" dir="5400000" algn="t" rotWithShape="0">
              <a:prstClr val="black">
                <a:alpha val="40000"/>
              </a:prstClr>
            </a:outerShdw>
          </a:effectLst>
          <a:scene3d>
            <a:camera prst="perspectiveRelaxedModerately"/>
            <a:lightRig rig="threePt" dir="t"/>
          </a:scene3d>
          <a:sp3d/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116</xdr:col>
      <xdr:colOff>0</xdr:colOff>
      <xdr:row>72</xdr:row>
      <xdr:rowOff>0</xdr:rowOff>
    </xdr:from>
    <xdr:to>
      <xdr:col>126</xdr:col>
      <xdr:colOff>0</xdr:colOff>
      <xdr:row>83</xdr:row>
      <xdr:rowOff>0</xdr:rowOff>
    </xdr:to>
    <xdr:grpSp>
      <xdr:nvGrpSpPr>
        <xdr:cNvPr id="739" name="icon_2#imageTOP" title="icon_2#image">
          <a:extLst>
            <a:ext uri="{FF2B5EF4-FFF2-40B4-BE49-F238E27FC236}">
              <a16:creationId xmlns:a16="http://schemas.microsoft.com/office/drawing/2014/main" id="{02FDC5DC-0BAE-4549-9F0E-764D9F5E25A2}"/>
            </a:ext>
          </a:extLst>
        </xdr:cNvPr>
        <xdr:cNvGrpSpPr/>
      </xdr:nvGrpSpPr>
      <xdr:grpSpPr>
        <a:xfrm>
          <a:off x="11049000" y="6858000"/>
          <a:ext cx="952500" cy="1047750"/>
          <a:chOff x="11049000" y="6858000"/>
          <a:chExt cx="952500" cy="1047750"/>
        </a:xfrm>
      </xdr:grpSpPr>
      <xdr:grpSp>
        <xdr:nvGrpSpPr>
          <xdr:cNvPr id="372" name="icon_2#imageTOP" title="icon_2#image">
            <a:extLst>
              <a:ext uri="{FF2B5EF4-FFF2-40B4-BE49-F238E27FC236}">
                <a16:creationId xmlns:a16="http://schemas.microsoft.com/office/drawing/2014/main" id="{4B63DDE2-6D98-4247-AD8E-4E9BCB6DBAE2}"/>
              </a:ext>
            </a:extLst>
          </xdr:cNvPr>
          <xdr:cNvGrpSpPr/>
        </xdr:nvGrpSpPr>
        <xdr:grpSpPr>
          <a:xfrm>
            <a:off x="11049000" y="6858000"/>
            <a:ext cx="952500" cy="1047750"/>
            <a:chOff x="11049000" y="6858000"/>
            <a:chExt cx="952500" cy="1047750"/>
          </a:xfrm>
        </xdr:grpSpPr>
        <xdr:sp macro="" textlink="">
          <xdr:nvSpPr>
            <xdr:cNvPr id="572" name="icon_2#image" descr="Кода нет, это картинка#Кода нет, это картинка#png#1.5" title="close_big_message#sprite">
              <a:extLst>
                <a:ext uri="{FF2B5EF4-FFF2-40B4-BE49-F238E27FC236}">
                  <a16:creationId xmlns:a16="http://schemas.microsoft.com/office/drawing/2014/main" id="{89EF9D07-E993-4270-9076-62377A255ACE}"/>
                </a:ext>
              </a:extLst>
            </xdr:cNvPr>
            <xdr:cNvSpPr/>
          </xdr:nvSpPr>
          <xdr:spPr>
            <a:xfrm>
              <a:off x="11049000" y="6858000"/>
              <a:ext cx="952500" cy="1047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738" name="Рисунок 363" descr="Кот">
            <a:extLst>
              <a:ext uri="{FF2B5EF4-FFF2-40B4-BE49-F238E27FC236}">
                <a16:creationId xmlns:a16="http://schemas.microsoft.com/office/drawing/2014/main" id="{EC62A515-4439-4450-845B-D214E2012F1C}"/>
              </a:ext>
            </a:extLst>
          </xdr:cNvPr>
          <xdr:cNvSpPr/>
        </xdr:nvSpPr>
        <xdr:spPr>
          <a:xfrm>
            <a:off x="11318862" y="7137474"/>
            <a:ext cx="363141" cy="482204"/>
          </a:xfrm>
          <a:custGeom>
            <a:avLst/>
            <a:gdLst>
              <a:gd name="connsiteX0" fmla="*/ 362360 w 363141"/>
              <a:gd name="connsiteY0" fmla="*/ 102716 h 482203"/>
              <a:gd name="connsiteX1" fmla="*/ 312354 w 363141"/>
              <a:gd name="connsiteY1" fmla="*/ 30087 h 482203"/>
              <a:gd name="connsiteX2" fmla="*/ 312354 w 363141"/>
              <a:gd name="connsiteY2" fmla="*/ 8656 h 482203"/>
              <a:gd name="connsiteX3" fmla="*/ 302233 w 363141"/>
              <a:gd name="connsiteY3" fmla="*/ 4489 h 482203"/>
              <a:gd name="connsiteX4" fmla="*/ 220080 w 363141"/>
              <a:gd name="connsiteY4" fmla="*/ 81284 h 482203"/>
              <a:gd name="connsiteX5" fmla="*/ 205197 w 363141"/>
              <a:gd name="connsiteY5" fmla="*/ 115813 h 482203"/>
              <a:gd name="connsiteX6" fmla="*/ 205197 w 363141"/>
              <a:gd name="connsiteY6" fmla="*/ 119384 h 482203"/>
              <a:gd name="connsiteX7" fmla="*/ 68275 w 363141"/>
              <a:gd name="connsiteY7" fmla="*/ 351557 h 482203"/>
              <a:gd name="connsiteX8" fmla="*/ 72442 w 363141"/>
              <a:gd name="connsiteY8" fmla="*/ 406921 h 482203"/>
              <a:gd name="connsiteX9" fmla="*/ 68275 w 363141"/>
              <a:gd name="connsiteY9" fmla="*/ 403349 h 482203"/>
              <a:gd name="connsiteX10" fmla="*/ 38509 w 363141"/>
              <a:gd name="connsiteY10" fmla="*/ 297979 h 482203"/>
              <a:gd name="connsiteX11" fmla="*/ 59941 w 363141"/>
              <a:gd name="connsiteY11" fmla="*/ 231899 h 482203"/>
              <a:gd name="connsiteX12" fmla="*/ 62917 w 363141"/>
              <a:gd name="connsiteY12" fmla="*/ 124742 h 482203"/>
              <a:gd name="connsiteX13" fmla="*/ 37914 w 363141"/>
              <a:gd name="connsiteY13" fmla="*/ 124742 h 482203"/>
              <a:gd name="connsiteX14" fmla="*/ 37914 w 363141"/>
              <a:gd name="connsiteY14" fmla="*/ 149745 h 482203"/>
              <a:gd name="connsiteX15" fmla="*/ 28389 w 363141"/>
              <a:gd name="connsiteY15" fmla="*/ 215825 h 482203"/>
              <a:gd name="connsiteX16" fmla="*/ 2791 w 363141"/>
              <a:gd name="connsiteY16" fmla="*/ 297979 h 482203"/>
              <a:gd name="connsiteX17" fmla="*/ 44462 w 363141"/>
              <a:gd name="connsiteY17" fmla="*/ 430138 h 482203"/>
              <a:gd name="connsiteX18" fmla="*/ 84944 w 363141"/>
              <a:gd name="connsiteY18" fmla="*/ 451569 h 482203"/>
              <a:gd name="connsiteX19" fmla="*/ 115900 w 363141"/>
              <a:gd name="connsiteY19" fmla="*/ 482526 h 482203"/>
              <a:gd name="connsiteX20" fmla="*/ 187338 w 363141"/>
              <a:gd name="connsiteY20" fmla="*/ 482526 h 482203"/>
              <a:gd name="connsiteX21" fmla="*/ 205197 w 363141"/>
              <a:gd name="connsiteY21" fmla="*/ 464666 h 482203"/>
              <a:gd name="connsiteX22" fmla="*/ 189719 w 363141"/>
              <a:gd name="connsiteY22" fmla="*/ 446807 h 482203"/>
              <a:gd name="connsiteX23" fmla="*/ 169478 w 363141"/>
              <a:gd name="connsiteY23" fmla="*/ 446807 h 482203"/>
              <a:gd name="connsiteX24" fmla="*/ 211150 w 363141"/>
              <a:gd name="connsiteY24" fmla="*/ 363463 h 482203"/>
              <a:gd name="connsiteX25" fmla="*/ 177217 w 363141"/>
              <a:gd name="connsiteY25" fmla="*/ 293811 h 482203"/>
              <a:gd name="connsiteX26" fmla="*/ 173646 w 363141"/>
              <a:gd name="connsiteY26" fmla="*/ 281905 h 482203"/>
              <a:gd name="connsiteX27" fmla="*/ 185552 w 363141"/>
              <a:gd name="connsiteY27" fmla="*/ 278333 h 482203"/>
              <a:gd name="connsiteX28" fmla="*/ 229010 w 363141"/>
              <a:gd name="connsiteY28" fmla="*/ 363463 h 482203"/>
              <a:gd name="connsiteX29" fmla="*/ 217103 w 363141"/>
              <a:gd name="connsiteY29" fmla="*/ 420018 h 482203"/>
              <a:gd name="connsiteX30" fmla="*/ 217103 w 363141"/>
              <a:gd name="connsiteY30" fmla="*/ 464666 h 482203"/>
              <a:gd name="connsiteX31" fmla="*/ 234963 w 363141"/>
              <a:gd name="connsiteY31" fmla="*/ 482526 h 482203"/>
              <a:gd name="connsiteX32" fmla="*/ 252822 w 363141"/>
              <a:gd name="connsiteY32" fmla="*/ 464666 h 482203"/>
              <a:gd name="connsiteX33" fmla="*/ 252822 w 363141"/>
              <a:gd name="connsiteY33" fmla="*/ 409897 h 482203"/>
              <a:gd name="connsiteX34" fmla="*/ 264729 w 363141"/>
              <a:gd name="connsiteY34" fmla="*/ 393824 h 482203"/>
              <a:gd name="connsiteX35" fmla="*/ 264729 w 363141"/>
              <a:gd name="connsiteY35" fmla="*/ 464666 h 482203"/>
              <a:gd name="connsiteX36" fmla="*/ 282588 w 363141"/>
              <a:gd name="connsiteY36" fmla="*/ 482526 h 482203"/>
              <a:gd name="connsiteX37" fmla="*/ 300447 w 363141"/>
              <a:gd name="connsiteY37" fmla="*/ 464666 h 482203"/>
              <a:gd name="connsiteX38" fmla="*/ 300447 w 363141"/>
              <a:gd name="connsiteY38" fmla="*/ 306313 h 482203"/>
              <a:gd name="connsiteX39" fmla="*/ 306400 w 363141"/>
              <a:gd name="connsiteY39" fmla="*/ 262260 h 482203"/>
              <a:gd name="connsiteX40" fmla="*/ 294494 w 363141"/>
              <a:gd name="connsiteY40" fmla="*/ 184869 h 482203"/>
              <a:gd name="connsiteX41" fmla="*/ 318307 w 363141"/>
              <a:gd name="connsiteY41" fmla="*/ 161056 h 482203"/>
              <a:gd name="connsiteX42" fmla="*/ 365932 w 363141"/>
              <a:gd name="connsiteY42" fmla="*/ 113431 h 482203"/>
              <a:gd name="connsiteX43" fmla="*/ 362360 w 363141"/>
              <a:gd name="connsiteY43" fmla="*/ 102716 h 48220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</a:cxnLst>
            <a:rect l="l" t="t" r="r" b="b"/>
            <a:pathLst>
              <a:path w="363141" h="482203">
                <a:moveTo>
                  <a:pt x="362360" y="102716"/>
                </a:moveTo>
                <a:lnTo>
                  <a:pt x="312354" y="30087"/>
                </a:lnTo>
                <a:lnTo>
                  <a:pt x="312354" y="8656"/>
                </a:lnTo>
                <a:cubicBezTo>
                  <a:pt x="312354" y="3298"/>
                  <a:pt x="305805" y="917"/>
                  <a:pt x="302233" y="4489"/>
                </a:cubicBezTo>
                <a:lnTo>
                  <a:pt x="220080" y="81284"/>
                </a:lnTo>
                <a:cubicBezTo>
                  <a:pt x="210555" y="90214"/>
                  <a:pt x="205197" y="102716"/>
                  <a:pt x="205197" y="115813"/>
                </a:cubicBezTo>
                <a:lnTo>
                  <a:pt x="205197" y="119384"/>
                </a:lnTo>
                <a:cubicBezTo>
                  <a:pt x="205197" y="169986"/>
                  <a:pt x="68275" y="190822"/>
                  <a:pt x="68275" y="351557"/>
                </a:cubicBezTo>
                <a:cubicBezTo>
                  <a:pt x="68275" y="372988"/>
                  <a:pt x="69466" y="391443"/>
                  <a:pt x="72442" y="406921"/>
                </a:cubicBezTo>
                <a:cubicBezTo>
                  <a:pt x="71252" y="405730"/>
                  <a:pt x="70061" y="404540"/>
                  <a:pt x="68275" y="403349"/>
                </a:cubicBezTo>
                <a:cubicBezTo>
                  <a:pt x="54583" y="390252"/>
                  <a:pt x="38509" y="361082"/>
                  <a:pt x="38509" y="297979"/>
                </a:cubicBezTo>
                <a:cubicBezTo>
                  <a:pt x="38509" y="275952"/>
                  <a:pt x="49225" y="253330"/>
                  <a:pt x="59941" y="231899"/>
                </a:cubicBezTo>
                <a:cubicBezTo>
                  <a:pt x="76609" y="197371"/>
                  <a:pt x="95659" y="158080"/>
                  <a:pt x="62917" y="124742"/>
                </a:cubicBezTo>
                <a:cubicBezTo>
                  <a:pt x="55773" y="117599"/>
                  <a:pt x="44462" y="117599"/>
                  <a:pt x="37914" y="124742"/>
                </a:cubicBezTo>
                <a:cubicBezTo>
                  <a:pt x="30770" y="131886"/>
                  <a:pt x="30770" y="143197"/>
                  <a:pt x="37914" y="149745"/>
                </a:cubicBezTo>
                <a:cubicBezTo>
                  <a:pt x="51606" y="163438"/>
                  <a:pt x="45653" y="179511"/>
                  <a:pt x="28389" y="215825"/>
                </a:cubicBezTo>
                <a:cubicBezTo>
                  <a:pt x="15887" y="240233"/>
                  <a:pt x="2791" y="268213"/>
                  <a:pt x="2791" y="297979"/>
                </a:cubicBezTo>
                <a:cubicBezTo>
                  <a:pt x="2791" y="359296"/>
                  <a:pt x="17078" y="403944"/>
                  <a:pt x="44462" y="430138"/>
                </a:cubicBezTo>
                <a:cubicBezTo>
                  <a:pt x="58750" y="443830"/>
                  <a:pt x="74228" y="449188"/>
                  <a:pt x="84944" y="451569"/>
                </a:cubicBezTo>
                <a:cubicBezTo>
                  <a:pt x="96255" y="475382"/>
                  <a:pt x="109947" y="482526"/>
                  <a:pt x="115900" y="482526"/>
                </a:cubicBezTo>
                <a:lnTo>
                  <a:pt x="187338" y="482526"/>
                </a:lnTo>
                <a:cubicBezTo>
                  <a:pt x="197458" y="482526"/>
                  <a:pt x="205197" y="474787"/>
                  <a:pt x="205197" y="464666"/>
                </a:cubicBezTo>
                <a:cubicBezTo>
                  <a:pt x="205197" y="455737"/>
                  <a:pt x="198649" y="447998"/>
                  <a:pt x="189719" y="446807"/>
                </a:cubicBezTo>
                <a:lnTo>
                  <a:pt x="169478" y="446807"/>
                </a:lnTo>
                <a:cubicBezTo>
                  <a:pt x="192100" y="434305"/>
                  <a:pt x="211150" y="408707"/>
                  <a:pt x="211150" y="363463"/>
                </a:cubicBezTo>
                <a:cubicBezTo>
                  <a:pt x="211150" y="324172"/>
                  <a:pt x="203411" y="308099"/>
                  <a:pt x="177217" y="293811"/>
                </a:cubicBezTo>
                <a:cubicBezTo>
                  <a:pt x="173050" y="291430"/>
                  <a:pt x="171264" y="286072"/>
                  <a:pt x="173646" y="281905"/>
                </a:cubicBezTo>
                <a:cubicBezTo>
                  <a:pt x="176027" y="277738"/>
                  <a:pt x="181385" y="275952"/>
                  <a:pt x="185552" y="278333"/>
                </a:cubicBezTo>
                <a:cubicBezTo>
                  <a:pt x="221866" y="297383"/>
                  <a:pt x="229010" y="324172"/>
                  <a:pt x="229010" y="363463"/>
                </a:cubicBezTo>
                <a:cubicBezTo>
                  <a:pt x="229010" y="384894"/>
                  <a:pt x="224842" y="403944"/>
                  <a:pt x="217103" y="420018"/>
                </a:cubicBezTo>
                <a:lnTo>
                  <a:pt x="217103" y="464666"/>
                </a:lnTo>
                <a:cubicBezTo>
                  <a:pt x="217103" y="474787"/>
                  <a:pt x="224842" y="482526"/>
                  <a:pt x="234963" y="482526"/>
                </a:cubicBezTo>
                <a:cubicBezTo>
                  <a:pt x="245083" y="482526"/>
                  <a:pt x="252822" y="474787"/>
                  <a:pt x="252822" y="464666"/>
                </a:cubicBezTo>
                <a:lnTo>
                  <a:pt x="252822" y="409897"/>
                </a:lnTo>
                <a:cubicBezTo>
                  <a:pt x="256989" y="405135"/>
                  <a:pt x="261157" y="399777"/>
                  <a:pt x="264729" y="393824"/>
                </a:cubicBezTo>
                <a:lnTo>
                  <a:pt x="264729" y="464666"/>
                </a:lnTo>
                <a:cubicBezTo>
                  <a:pt x="264729" y="474787"/>
                  <a:pt x="272468" y="482526"/>
                  <a:pt x="282588" y="482526"/>
                </a:cubicBezTo>
                <a:cubicBezTo>
                  <a:pt x="292708" y="482526"/>
                  <a:pt x="300447" y="474787"/>
                  <a:pt x="300447" y="464666"/>
                </a:cubicBezTo>
                <a:lnTo>
                  <a:pt x="300447" y="306313"/>
                </a:lnTo>
                <a:cubicBezTo>
                  <a:pt x="304614" y="288454"/>
                  <a:pt x="306400" y="272975"/>
                  <a:pt x="306400" y="262260"/>
                </a:cubicBezTo>
                <a:cubicBezTo>
                  <a:pt x="306400" y="215230"/>
                  <a:pt x="294494" y="210467"/>
                  <a:pt x="294494" y="184869"/>
                </a:cubicBezTo>
                <a:cubicBezTo>
                  <a:pt x="294494" y="171772"/>
                  <a:pt x="305210" y="161056"/>
                  <a:pt x="318307" y="161056"/>
                </a:cubicBezTo>
                <a:cubicBezTo>
                  <a:pt x="344501" y="161056"/>
                  <a:pt x="365932" y="139625"/>
                  <a:pt x="365932" y="113431"/>
                </a:cubicBezTo>
                <a:cubicBezTo>
                  <a:pt x="365932" y="109264"/>
                  <a:pt x="364741" y="105692"/>
                  <a:pt x="362360" y="102716"/>
                </a:cubicBezTo>
                <a:close/>
              </a:path>
            </a:pathLst>
          </a:custGeom>
          <a:solidFill>
            <a:srgbClr val="FF0000"/>
          </a:solidFill>
          <a:ln w="5953" cap="flat">
            <a:noFill/>
            <a:prstDash val="solid"/>
            <a:miter/>
          </a:ln>
          <a:effectLst>
            <a:outerShdw blurRad="63500" sx="105000" sy="105000" algn="ctr" rotWithShape="0">
              <a:prstClr val="black">
                <a:alpha val="92000"/>
              </a:prstClr>
            </a:outerShdw>
          </a:effectLst>
          <a:scene3d>
            <a:camera prst="perspectiveRelaxedModerately" fov="0"/>
            <a:lightRig rig="glow" dir="t"/>
          </a:scene3d>
          <a:sp3d prstMaterial="plastic">
            <a:extrusionClr>
              <a:schemeClr val="tx1"/>
            </a:extrusionClr>
          </a:sp3d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7</xdr:col>
      <xdr:colOff>0</xdr:colOff>
      <xdr:row>60</xdr:row>
      <xdr:rowOff>0</xdr:rowOff>
    </xdr:from>
    <xdr:to>
      <xdr:col>89</xdr:col>
      <xdr:colOff>0</xdr:colOff>
      <xdr:row>107</xdr:row>
      <xdr:rowOff>0</xdr:rowOff>
    </xdr:to>
    <xdr:grpSp>
      <xdr:nvGrpSpPr>
        <xdr:cNvPr id="888" name="cards_bcg#imageTOP" title="cards_bcg#image">
          <a:extLst>
            <a:ext uri="{FF2B5EF4-FFF2-40B4-BE49-F238E27FC236}">
              <a16:creationId xmlns:a16="http://schemas.microsoft.com/office/drawing/2014/main" id="{F9B1650D-7ED4-4974-920B-8CE5B7DCDC3D}"/>
            </a:ext>
          </a:extLst>
        </xdr:cNvPr>
        <xdr:cNvGrpSpPr/>
      </xdr:nvGrpSpPr>
      <xdr:grpSpPr>
        <a:xfrm>
          <a:off x="666750" y="5715000"/>
          <a:ext cx="7810500" cy="4476750"/>
          <a:chOff x="666750" y="10763250"/>
          <a:chExt cx="7810500" cy="4476750"/>
        </a:xfrm>
      </xdr:grpSpPr>
      <xdr:sp macro="" textlink="">
        <xdr:nvSpPr>
          <xdr:cNvPr id="889" name="object">
            <a:extLst>
              <a:ext uri="{FF2B5EF4-FFF2-40B4-BE49-F238E27FC236}">
                <a16:creationId xmlns:a16="http://schemas.microsoft.com/office/drawing/2014/main" id="{1977CD0B-DEF0-4BAC-B2FE-7380DDAFB90D}"/>
              </a:ext>
            </a:extLst>
          </xdr:cNvPr>
          <xdr:cNvSpPr/>
        </xdr:nvSpPr>
        <xdr:spPr>
          <a:xfrm>
            <a:off x="762000" y="10858500"/>
            <a:ext cx="7620000" cy="4286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2400" b="1">
              <a:solidFill>
                <a:schemeClr val="bg2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imes New Roman" panose="02020603050405020304" pitchFamily="18" charset="0"/>
              <a:ea typeface="Yahfie" pitchFamily="2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890" name="cards_bcg#image" descr="Кода нет, это картинка#Кода нет, это картинка#png#1.5" title="cards_bcg#image">
            <a:extLst>
              <a:ext uri="{FF2B5EF4-FFF2-40B4-BE49-F238E27FC236}">
                <a16:creationId xmlns:a16="http://schemas.microsoft.com/office/drawing/2014/main" id="{04E0C11F-7544-4711-8716-88B5C993D156}"/>
              </a:ext>
            </a:extLst>
          </xdr:cNvPr>
          <xdr:cNvSpPr/>
        </xdr:nvSpPr>
        <xdr:spPr>
          <a:xfrm>
            <a:off x="666750" y="1076325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891" name="object">
            <a:extLst>
              <a:ext uri="{FF2B5EF4-FFF2-40B4-BE49-F238E27FC236}">
                <a16:creationId xmlns:a16="http://schemas.microsoft.com/office/drawing/2014/main" id="{7C436C16-2D28-40A9-8804-5933EDC1AB4D}"/>
              </a:ext>
            </a:extLst>
          </xdr:cNvPr>
          <xdr:cNvSpPr/>
        </xdr:nvSpPr>
        <xdr:spPr>
          <a:xfrm>
            <a:off x="857250" y="11239500"/>
            <a:ext cx="7429500" cy="3524250"/>
          </a:xfrm>
          <a:custGeom>
            <a:avLst/>
            <a:gdLst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0 w 7239000"/>
              <a:gd name="connsiteY3" fmla="*/ 3143250 h 3143250"/>
              <a:gd name="connsiteX4" fmla="*/ 0 w 7239000"/>
              <a:gd name="connsiteY4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4962525 w 7239000"/>
              <a:gd name="connsiteY3" fmla="*/ 3133725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6315075 w 7239000"/>
              <a:gd name="connsiteY3" fmla="*/ 3143250 h 3143250"/>
              <a:gd name="connsiteX4" fmla="*/ 4857750 w 7239000"/>
              <a:gd name="connsiteY4" fmla="*/ 3143250 h 3143250"/>
              <a:gd name="connsiteX5" fmla="*/ 0 w 7239000"/>
              <a:gd name="connsiteY5" fmla="*/ 3143250 h 3143250"/>
              <a:gd name="connsiteX6" fmla="*/ 0 w 7239000"/>
              <a:gd name="connsiteY6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4857750 w 7239000"/>
              <a:gd name="connsiteY3" fmla="*/ 2381250 h 3143250"/>
              <a:gd name="connsiteX4" fmla="*/ 4857750 w 7239000"/>
              <a:gd name="connsiteY4" fmla="*/ 3143250 h 3143250"/>
              <a:gd name="connsiteX5" fmla="*/ 0 w 7239000"/>
              <a:gd name="connsiteY5" fmla="*/ 3143250 h 3143250"/>
              <a:gd name="connsiteX6" fmla="*/ 0 w 7239000"/>
              <a:gd name="connsiteY6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2381250 h 3143250"/>
              <a:gd name="connsiteX4" fmla="*/ 4857750 w 7239000"/>
              <a:gd name="connsiteY4" fmla="*/ 3143250 h 3143250"/>
              <a:gd name="connsiteX5" fmla="*/ 0 w 7239000"/>
              <a:gd name="connsiteY5" fmla="*/ 3143250 h 3143250"/>
              <a:gd name="connsiteX6" fmla="*/ 0 w 7239000"/>
              <a:gd name="connsiteY6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238500"/>
              <a:gd name="connsiteX1" fmla="*/ 7239000 w 7239000"/>
              <a:gd name="connsiteY1" fmla="*/ 95250 h 3238500"/>
              <a:gd name="connsiteX2" fmla="*/ 7239000 w 7239000"/>
              <a:gd name="connsiteY2" fmla="*/ 2476500 h 3238500"/>
              <a:gd name="connsiteX3" fmla="*/ 4857750 w 7239000"/>
              <a:gd name="connsiteY3" fmla="*/ 3238500 h 3238500"/>
              <a:gd name="connsiteX4" fmla="*/ 0 w 7239000"/>
              <a:gd name="connsiteY4" fmla="*/ 3238500 h 3238500"/>
              <a:gd name="connsiteX5" fmla="*/ 0 w 7239000"/>
              <a:gd name="connsiteY5" fmla="*/ 0 h 3238500"/>
              <a:gd name="connsiteX0" fmla="*/ 0 w 7239000"/>
              <a:gd name="connsiteY0" fmla="*/ 0 h 3238500"/>
              <a:gd name="connsiteX1" fmla="*/ 7239000 w 7239000"/>
              <a:gd name="connsiteY1" fmla="*/ 0 h 3238500"/>
              <a:gd name="connsiteX2" fmla="*/ 7239000 w 7239000"/>
              <a:gd name="connsiteY2" fmla="*/ 2476500 h 3238500"/>
              <a:gd name="connsiteX3" fmla="*/ 4857750 w 7239000"/>
              <a:gd name="connsiteY3" fmla="*/ 3238500 h 3238500"/>
              <a:gd name="connsiteX4" fmla="*/ 0 w 7239000"/>
              <a:gd name="connsiteY4" fmla="*/ 3238500 h 3238500"/>
              <a:gd name="connsiteX5" fmla="*/ 0 w 7239000"/>
              <a:gd name="connsiteY5" fmla="*/ 0 h 323850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4857750 w 7239000"/>
              <a:gd name="connsiteY3" fmla="*/ 323850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19050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190500 w 7239000"/>
              <a:gd name="connsiteY5" fmla="*/ 0 h 3524250"/>
              <a:gd name="connsiteX0" fmla="*/ 0 w 7048500"/>
              <a:gd name="connsiteY0" fmla="*/ 0 h 3524250"/>
              <a:gd name="connsiteX1" fmla="*/ 7048500 w 7048500"/>
              <a:gd name="connsiteY1" fmla="*/ 0 h 3524250"/>
              <a:gd name="connsiteX2" fmla="*/ 7048500 w 7048500"/>
              <a:gd name="connsiteY2" fmla="*/ 2476500 h 3524250"/>
              <a:gd name="connsiteX3" fmla="*/ 5619750 w 7048500"/>
              <a:gd name="connsiteY3" fmla="*/ 3524250 h 3524250"/>
              <a:gd name="connsiteX4" fmla="*/ 0 w 7048500"/>
              <a:gd name="connsiteY4" fmla="*/ 3524250 h 3524250"/>
              <a:gd name="connsiteX5" fmla="*/ 0 w 7048500"/>
              <a:gd name="connsiteY5" fmla="*/ 0 h 3524250"/>
              <a:gd name="connsiteX0" fmla="*/ 95250 w 7048500"/>
              <a:gd name="connsiteY0" fmla="*/ 0 h 3524250"/>
              <a:gd name="connsiteX1" fmla="*/ 7048500 w 7048500"/>
              <a:gd name="connsiteY1" fmla="*/ 0 h 3524250"/>
              <a:gd name="connsiteX2" fmla="*/ 7048500 w 7048500"/>
              <a:gd name="connsiteY2" fmla="*/ 2476500 h 3524250"/>
              <a:gd name="connsiteX3" fmla="*/ 5619750 w 7048500"/>
              <a:gd name="connsiteY3" fmla="*/ 3524250 h 3524250"/>
              <a:gd name="connsiteX4" fmla="*/ 0 w 7048500"/>
              <a:gd name="connsiteY4" fmla="*/ 3524250 h 3524250"/>
              <a:gd name="connsiteX5" fmla="*/ 95250 w 7048500"/>
              <a:gd name="connsiteY5" fmla="*/ 0 h 3524250"/>
              <a:gd name="connsiteX0" fmla="*/ 0 w 6953250"/>
              <a:gd name="connsiteY0" fmla="*/ 0 h 3524250"/>
              <a:gd name="connsiteX1" fmla="*/ 6953250 w 6953250"/>
              <a:gd name="connsiteY1" fmla="*/ 0 h 3524250"/>
              <a:gd name="connsiteX2" fmla="*/ 6953250 w 6953250"/>
              <a:gd name="connsiteY2" fmla="*/ 2476500 h 3524250"/>
              <a:gd name="connsiteX3" fmla="*/ 5524500 w 6953250"/>
              <a:gd name="connsiteY3" fmla="*/ 3524250 h 3524250"/>
              <a:gd name="connsiteX4" fmla="*/ 0 w 6953250"/>
              <a:gd name="connsiteY4" fmla="*/ 3524250 h 3524250"/>
              <a:gd name="connsiteX5" fmla="*/ 0 w 6953250"/>
              <a:gd name="connsiteY5" fmla="*/ 0 h 3524250"/>
              <a:gd name="connsiteX0" fmla="*/ 0 w 6953250"/>
              <a:gd name="connsiteY0" fmla="*/ 0 h 3524250"/>
              <a:gd name="connsiteX1" fmla="*/ 6477000 w 6953250"/>
              <a:gd name="connsiteY1" fmla="*/ 0 h 3524250"/>
              <a:gd name="connsiteX2" fmla="*/ 6953250 w 6953250"/>
              <a:gd name="connsiteY2" fmla="*/ 2476500 h 3524250"/>
              <a:gd name="connsiteX3" fmla="*/ 5524500 w 6953250"/>
              <a:gd name="connsiteY3" fmla="*/ 3524250 h 3524250"/>
              <a:gd name="connsiteX4" fmla="*/ 0 w 6953250"/>
              <a:gd name="connsiteY4" fmla="*/ 3524250 h 3524250"/>
              <a:gd name="connsiteX5" fmla="*/ 0 w 6953250"/>
              <a:gd name="connsiteY5" fmla="*/ 0 h 3524250"/>
              <a:gd name="connsiteX0" fmla="*/ 0 w 6477000"/>
              <a:gd name="connsiteY0" fmla="*/ 0 h 3524250"/>
              <a:gd name="connsiteX1" fmla="*/ 6477000 w 6477000"/>
              <a:gd name="connsiteY1" fmla="*/ 0 h 3524250"/>
              <a:gd name="connsiteX2" fmla="*/ 6477000 w 6477000"/>
              <a:gd name="connsiteY2" fmla="*/ 2476500 h 3524250"/>
              <a:gd name="connsiteX3" fmla="*/ 5524500 w 6477000"/>
              <a:gd name="connsiteY3" fmla="*/ 3524250 h 3524250"/>
              <a:gd name="connsiteX4" fmla="*/ 0 w 6477000"/>
              <a:gd name="connsiteY4" fmla="*/ 3524250 h 3524250"/>
              <a:gd name="connsiteX5" fmla="*/ 0 w 6477000"/>
              <a:gd name="connsiteY5" fmla="*/ 0 h 3524250"/>
              <a:gd name="connsiteX0" fmla="*/ 0 w 6667500"/>
              <a:gd name="connsiteY0" fmla="*/ 0 h 3524250"/>
              <a:gd name="connsiteX1" fmla="*/ 6667500 w 6667500"/>
              <a:gd name="connsiteY1" fmla="*/ 0 h 3524250"/>
              <a:gd name="connsiteX2" fmla="*/ 6477000 w 6667500"/>
              <a:gd name="connsiteY2" fmla="*/ 2476500 h 3524250"/>
              <a:gd name="connsiteX3" fmla="*/ 5524500 w 6667500"/>
              <a:gd name="connsiteY3" fmla="*/ 3524250 h 3524250"/>
              <a:gd name="connsiteX4" fmla="*/ 0 w 6667500"/>
              <a:gd name="connsiteY4" fmla="*/ 3524250 h 3524250"/>
              <a:gd name="connsiteX5" fmla="*/ 0 w 6667500"/>
              <a:gd name="connsiteY5" fmla="*/ 0 h 3524250"/>
              <a:gd name="connsiteX0" fmla="*/ 0 w 6667500"/>
              <a:gd name="connsiteY0" fmla="*/ 0 h 3524250"/>
              <a:gd name="connsiteX1" fmla="*/ 6667500 w 6667500"/>
              <a:gd name="connsiteY1" fmla="*/ 0 h 3524250"/>
              <a:gd name="connsiteX2" fmla="*/ 6667500 w 6667500"/>
              <a:gd name="connsiteY2" fmla="*/ 2476500 h 3524250"/>
              <a:gd name="connsiteX3" fmla="*/ 5524500 w 6667500"/>
              <a:gd name="connsiteY3" fmla="*/ 3524250 h 3524250"/>
              <a:gd name="connsiteX4" fmla="*/ 0 w 6667500"/>
              <a:gd name="connsiteY4" fmla="*/ 3524250 h 3524250"/>
              <a:gd name="connsiteX5" fmla="*/ 0 w 6667500"/>
              <a:gd name="connsiteY5" fmla="*/ 0 h 3524250"/>
              <a:gd name="connsiteX0" fmla="*/ 0 w 6762750"/>
              <a:gd name="connsiteY0" fmla="*/ 0 h 3524250"/>
              <a:gd name="connsiteX1" fmla="*/ 6762750 w 6762750"/>
              <a:gd name="connsiteY1" fmla="*/ 0 h 3524250"/>
              <a:gd name="connsiteX2" fmla="*/ 6762750 w 6762750"/>
              <a:gd name="connsiteY2" fmla="*/ 2476500 h 3524250"/>
              <a:gd name="connsiteX3" fmla="*/ 5619750 w 6762750"/>
              <a:gd name="connsiteY3" fmla="*/ 3524250 h 3524250"/>
              <a:gd name="connsiteX4" fmla="*/ 95250 w 6762750"/>
              <a:gd name="connsiteY4" fmla="*/ 3524250 h 3524250"/>
              <a:gd name="connsiteX5" fmla="*/ 0 w 6762750"/>
              <a:gd name="connsiteY5" fmla="*/ 0 h 3524250"/>
              <a:gd name="connsiteX0" fmla="*/ 0 w 6762750"/>
              <a:gd name="connsiteY0" fmla="*/ 0 h 3524250"/>
              <a:gd name="connsiteX1" fmla="*/ 6762750 w 6762750"/>
              <a:gd name="connsiteY1" fmla="*/ 0 h 3524250"/>
              <a:gd name="connsiteX2" fmla="*/ 6762750 w 6762750"/>
              <a:gd name="connsiteY2" fmla="*/ 2476500 h 3524250"/>
              <a:gd name="connsiteX3" fmla="*/ 5619750 w 6762750"/>
              <a:gd name="connsiteY3" fmla="*/ 3524250 h 3524250"/>
              <a:gd name="connsiteX4" fmla="*/ 0 w 6762750"/>
              <a:gd name="connsiteY4" fmla="*/ 3524250 h 3524250"/>
              <a:gd name="connsiteX5" fmla="*/ 0 w 6762750"/>
              <a:gd name="connsiteY5" fmla="*/ 0 h 3524250"/>
              <a:gd name="connsiteX0" fmla="*/ 0 w 6953250"/>
              <a:gd name="connsiteY0" fmla="*/ 0 h 3524250"/>
              <a:gd name="connsiteX1" fmla="*/ 6953250 w 6953250"/>
              <a:gd name="connsiteY1" fmla="*/ 0 h 3524250"/>
              <a:gd name="connsiteX2" fmla="*/ 6953250 w 6953250"/>
              <a:gd name="connsiteY2" fmla="*/ 2476500 h 3524250"/>
              <a:gd name="connsiteX3" fmla="*/ 5810250 w 6953250"/>
              <a:gd name="connsiteY3" fmla="*/ 3524250 h 3524250"/>
              <a:gd name="connsiteX4" fmla="*/ 190500 w 6953250"/>
              <a:gd name="connsiteY4" fmla="*/ 3524250 h 3524250"/>
              <a:gd name="connsiteX5" fmla="*/ 0 w 6953250"/>
              <a:gd name="connsiteY5" fmla="*/ 0 h 3524250"/>
              <a:gd name="connsiteX0" fmla="*/ 0 w 6953250"/>
              <a:gd name="connsiteY0" fmla="*/ 0 h 3524250"/>
              <a:gd name="connsiteX1" fmla="*/ 6953250 w 6953250"/>
              <a:gd name="connsiteY1" fmla="*/ 0 h 3524250"/>
              <a:gd name="connsiteX2" fmla="*/ 6953250 w 6953250"/>
              <a:gd name="connsiteY2" fmla="*/ 2476500 h 3524250"/>
              <a:gd name="connsiteX3" fmla="*/ 5810250 w 6953250"/>
              <a:gd name="connsiteY3" fmla="*/ 3524250 h 3524250"/>
              <a:gd name="connsiteX4" fmla="*/ 0 w 6953250"/>
              <a:gd name="connsiteY4" fmla="*/ 3524250 h 3524250"/>
              <a:gd name="connsiteX5" fmla="*/ 0 w 695325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695325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609600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609600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609600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334250"/>
              <a:gd name="connsiteY0" fmla="*/ 0 h 3524250"/>
              <a:gd name="connsiteX1" fmla="*/ 7334250 w 7334250"/>
              <a:gd name="connsiteY1" fmla="*/ 0 h 3524250"/>
              <a:gd name="connsiteX2" fmla="*/ 7334250 w 7334250"/>
              <a:gd name="connsiteY2" fmla="*/ 2476500 h 3524250"/>
              <a:gd name="connsiteX3" fmla="*/ 6191250 w 7334250"/>
              <a:gd name="connsiteY3" fmla="*/ 3524250 h 3524250"/>
              <a:gd name="connsiteX4" fmla="*/ 95250 w 7334250"/>
              <a:gd name="connsiteY4" fmla="*/ 3524250 h 3524250"/>
              <a:gd name="connsiteX5" fmla="*/ 0 w 7334250"/>
              <a:gd name="connsiteY5" fmla="*/ 0 h 3524250"/>
              <a:gd name="connsiteX0" fmla="*/ 0 w 7334250"/>
              <a:gd name="connsiteY0" fmla="*/ 0 h 3524250"/>
              <a:gd name="connsiteX1" fmla="*/ 7334250 w 7334250"/>
              <a:gd name="connsiteY1" fmla="*/ 0 h 3524250"/>
              <a:gd name="connsiteX2" fmla="*/ 7334250 w 7334250"/>
              <a:gd name="connsiteY2" fmla="*/ 2476500 h 3524250"/>
              <a:gd name="connsiteX3" fmla="*/ 6191250 w 7334250"/>
              <a:gd name="connsiteY3" fmla="*/ 3524250 h 3524250"/>
              <a:gd name="connsiteX4" fmla="*/ 0 w 7334250"/>
              <a:gd name="connsiteY4" fmla="*/ 3524250 h 3524250"/>
              <a:gd name="connsiteX5" fmla="*/ 0 w 733425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334250 w 7429500"/>
              <a:gd name="connsiteY2" fmla="*/ 24765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4765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5810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5810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7429500" h="3524250">
                <a:moveTo>
                  <a:pt x="0" y="0"/>
                </a:moveTo>
                <a:lnTo>
                  <a:pt x="7429500" y="0"/>
                </a:lnTo>
                <a:lnTo>
                  <a:pt x="7429500" y="2667000"/>
                </a:lnTo>
                <a:cubicBezTo>
                  <a:pt x="6191250" y="2657475"/>
                  <a:pt x="5832475" y="3127375"/>
                  <a:pt x="5810250" y="3524250"/>
                </a:cubicBezTo>
                <a:lnTo>
                  <a:pt x="0" y="3524250"/>
                </a:lnTo>
                <a:lnTo>
                  <a:pt x="0" y="0"/>
                </a:lnTo>
                <a:close/>
              </a:path>
            </a:pathLst>
          </a:custGeom>
          <a:solidFill>
            <a:srgbClr val="3B3B3B"/>
          </a:solidFill>
          <a:ln w="19050">
            <a:noFill/>
          </a:ln>
          <a:effectLst>
            <a:innerShdw blurRad="482600">
              <a:prstClr val="black"/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92" name="Рисунок 1087">
            <a:extLst>
              <a:ext uri="{FF2B5EF4-FFF2-40B4-BE49-F238E27FC236}">
                <a16:creationId xmlns:a16="http://schemas.microsoft.com/office/drawing/2014/main" id="{110966F1-5D4F-4295-961B-FA8FD6B21B78}"/>
              </a:ext>
            </a:extLst>
          </xdr:cNvPr>
          <xdr:cNvSpPr/>
        </xdr:nvSpPr>
        <xdr:spPr>
          <a:xfrm>
            <a:off x="3120830" y="11465178"/>
            <a:ext cx="2445140" cy="2555622"/>
          </a:xfrm>
          <a:custGeom>
            <a:avLst/>
            <a:gdLst>
              <a:gd name="connsiteX0" fmla="*/ 11685 w 257175"/>
              <a:gd name="connsiteY0" fmla="*/ 242524 h 276225"/>
              <a:gd name="connsiteX1" fmla="*/ 59781 w 257175"/>
              <a:gd name="connsiteY1" fmla="*/ 193422 h 276225"/>
              <a:gd name="connsiteX2" fmla="*/ 127856 w 257175"/>
              <a:gd name="connsiteY2" fmla="*/ 219828 h 276225"/>
              <a:gd name="connsiteX3" fmla="*/ 173630 w 257175"/>
              <a:gd name="connsiteY3" fmla="*/ 204901 h 276225"/>
              <a:gd name="connsiteX4" fmla="*/ 98137 w 257175"/>
              <a:gd name="connsiteY4" fmla="*/ 128381 h 276225"/>
              <a:gd name="connsiteX5" fmla="*/ 69522 w 257175"/>
              <a:gd name="connsiteY5" fmla="*/ 157076 h 276225"/>
              <a:gd name="connsiteX6" fmla="*/ 34211 w 257175"/>
              <a:gd name="connsiteY6" fmla="*/ 121366 h 276225"/>
              <a:gd name="connsiteX7" fmla="*/ 96919 w 257175"/>
              <a:gd name="connsiteY7" fmla="*/ 59513 h 276225"/>
              <a:gd name="connsiteX8" fmla="*/ 161454 w 257175"/>
              <a:gd name="connsiteY8" fmla="*/ 60147 h 276225"/>
              <a:gd name="connsiteX9" fmla="*/ 118836 w 257175"/>
              <a:gd name="connsiteY9" fmla="*/ 105421 h 276225"/>
              <a:gd name="connsiteX10" fmla="*/ 194330 w 257175"/>
              <a:gd name="connsiteY10" fmla="*/ 185129 h 276225"/>
              <a:gd name="connsiteX11" fmla="*/ 220619 w 257175"/>
              <a:gd name="connsiteY11" fmla="*/ 118407 h 276225"/>
              <a:gd name="connsiteX12" fmla="*/ 134057 w 257175"/>
              <a:gd name="connsiteY12" fmla="*/ 11685 h 276225"/>
              <a:gd name="connsiteX13" fmla="*/ 245251 w 257175"/>
              <a:gd name="connsiteY13" fmla="*/ 108495 h 276225"/>
              <a:gd name="connsiteX14" fmla="*/ 222335 w 257175"/>
              <a:gd name="connsiteY14" fmla="*/ 215100 h 276225"/>
              <a:gd name="connsiteX15" fmla="*/ 249732 w 257175"/>
              <a:gd name="connsiteY15" fmla="*/ 242519 h 276225"/>
              <a:gd name="connsiteX16" fmla="*/ 229032 w 257175"/>
              <a:gd name="connsiteY16" fmla="*/ 264199 h 276225"/>
              <a:gd name="connsiteX17" fmla="*/ 199809 w 257175"/>
              <a:gd name="connsiteY17" fmla="*/ 234867 h 276225"/>
              <a:gd name="connsiteX18" fmla="*/ 136882 w 257175"/>
              <a:gd name="connsiteY18" fmla="*/ 254634 h 276225"/>
              <a:gd name="connsiteX19" fmla="*/ 70131 w 257175"/>
              <a:gd name="connsiteY19" fmla="*/ 227853 h 276225"/>
              <a:gd name="connsiteX20" fmla="*/ 34820 w 257175"/>
              <a:gd name="connsiteY20" fmla="*/ 264837 h 2762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57175" h="276225">
                <a:moveTo>
                  <a:pt x="11685" y="242524"/>
                </a:moveTo>
                <a:lnTo>
                  <a:pt x="59781" y="193422"/>
                </a:lnTo>
                <a:cubicBezTo>
                  <a:pt x="59781" y="193422"/>
                  <a:pt x="97304" y="221109"/>
                  <a:pt x="127856" y="219828"/>
                </a:cubicBezTo>
                <a:cubicBezTo>
                  <a:pt x="158408" y="218546"/>
                  <a:pt x="173630" y="204901"/>
                  <a:pt x="173630" y="204901"/>
                </a:cubicBezTo>
                <a:lnTo>
                  <a:pt x="98137" y="128381"/>
                </a:lnTo>
                <a:lnTo>
                  <a:pt x="69522" y="157076"/>
                </a:lnTo>
                <a:lnTo>
                  <a:pt x="34211" y="121366"/>
                </a:lnTo>
                <a:lnTo>
                  <a:pt x="96919" y="59513"/>
                </a:lnTo>
                <a:lnTo>
                  <a:pt x="161454" y="60147"/>
                </a:lnTo>
                <a:lnTo>
                  <a:pt x="118836" y="105421"/>
                </a:lnTo>
                <a:lnTo>
                  <a:pt x="194330" y="185129"/>
                </a:lnTo>
                <a:cubicBezTo>
                  <a:pt x="194330" y="185129"/>
                  <a:pt x="229106" y="157730"/>
                  <a:pt x="220619" y="118407"/>
                </a:cubicBezTo>
                <a:cubicBezTo>
                  <a:pt x="212132" y="79085"/>
                  <a:pt x="134057" y="11685"/>
                  <a:pt x="134057" y="11685"/>
                </a:cubicBezTo>
                <a:cubicBezTo>
                  <a:pt x="191047" y="27426"/>
                  <a:pt x="234603" y="73731"/>
                  <a:pt x="245251" y="108495"/>
                </a:cubicBezTo>
                <a:cubicBezTo>
                  <a:pt x="255899" y="143260"/>
                  <a:pt x="252267" y="178375"/>
                  <a:pt x="222335" y="215100"/>
                </a:cubicBezTo>
                <a:lnTo>
                  <a:pt x="249732" y="242519"/>
                </a:lnTo>
                <a:lnTo>
                  <a:pt x="229032" y="264199"/>
                </a:lnTo>
                <a:lnTo>
                  <a:pt x="199809" y="234867"/>
                </a:lnTo>
                <a:cubicBezTo>
                  <a:pt x="199809" y="234867"/>
                  <a:pt x="167642" y="254837"/>
                  <a:pt x="136882" y="254634"/>
                </a:cubicBezTo>
                <a:cubicBezTo>
                  <a:pt x="106122" y="254454"/>
                  <a:pt x="91821" y="246026"/>
                  <a:pt x="70131" y="227853"/>
                </a:cubicBezTo>
                <a:lnTo>
                  <a:pt x="34820" y="264837"/>
                </a:lnTo>
                <a:close/>
              </a:path>
            </a:pathLst>
          </a:custGeom>
          <a:solidFill>
            <a:srgbClr val="514D4D"/>
          </a:solidFill>
          <a:ln w="15579" cap="flat">
            <a:noFill/>
            <a:prstDash val="solid"/>
            <a:miter/>
          </a:ln>
          <a:effectLst>
            <a:innerShdw blurRad="63500" dist="50800" dir="13500000">
              <a:prstClr val="black">
                <a:alpha val="52000"/>
              </a:prstClr>
            </a:inn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29</xdr:col>
      <xdr:colOff>1</xdr:colOff>
      <xdr:row>103</xdr:row>
      <xdr:rowOff>1</xdr:rowOff>
    </xdr:from>
    <xdr:to>
      <xdr:col>64</xdr:col>
      <xdr:colOff>0</xdr:colOff>
      <xdr:row>105</xdr:row>
      <xdr:rowOff>0</xdr:rowOff>
    </xdr:to>
    <xdr:sp macro="" textlink="">
      <xdr:nvSpPr>
        <xdr:cNvPr id="893" name="players_online#block" descr="objects[obj_name]=new PIXI.BitmapText('', {fontName: 'mfont',fontSize: 25,align: 'center'});&#10;objects[obj_name].anchor.set(0.5,0);&#10;objects[obj_name].sx=objects[obj_name].x=$x;&#10;objects[obj_name].sy=objects[obj_name].y=$y;&#10;objects[obj_name].base_tint=objects[obj_name].tint=$t_col;#app.stage.addChild(objects[obj_name]);#png" title="players_online#block">
          <a:extLst>
            <a:ext uri="{FF2B5EF4-FFF2-40B4-BE49-F238E27FC236}">
              <a16:creationId xmlns:a16="http://schemas.microsoft.com/office/drawing/2014/main" id="{CF96844B-5E25-48EC-B1C2-9E7ECF3D9881}"/>
            </a:ext>
          </a:extLst>
        </xdr:cNvPr>
        <xdr:cNvSpPr/>
      </xdr:nvSpPr>
      <xdr:spPr>
        <a:xfrm>
          <a:off x="2762251" y="9810751"/>
          <a:ext cx="3333749" cy="190499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Игорков онлайн ? 10</a:t>
          </a:r>
        </a:p>
      </xdr:txBody>
    </xdr:sp>
    <xdr:clientData/>
  </xdr:twoCellAnchor>
  <xdr:twoCellAnchor>
    <xdr:from>
      <xdr:col>36</xdr:col>
      <xdr:colOff>0</xdr:colOff>
      <xdr:row>62</xdr:row>
      <xdr:rowOff>0</xdr:rowOff>
    </xdr:from>
    <xdr:to>
      <xdr:col>60</xdr:col>
      <xdr:colOff>0</xdr:colOff>
      <xdr:row>64</xdr:row>
      <xdr:rowOff>0</xdr:rowOff>
    </xdr:to>
    <xdr:sp macro="" textlink="">
      <xdr:nvSpPr>
        <xdr:cNvPr id="894" name="cards_menu_header#block" descr="objects[obj_name]=new PIXI.BitmapText(['Здесь можно сыграть онлайн','Here you can play online'][LANG], {fontName: 'mfont',fontSize: $font_size,align: 'center'});&#10;objects[obj_name].anchor.set(0.5,0.5);&#10;objects[obj_name].sx=objects[obj_name].x=$x;&#10;objects[obj_name].sy=objects[obj_name].y=$y;&#10;objects[obj_name].visible=false;#app.stage.addChild(objects[obj_name]);#png#1" title="players_online#block">
          <a:extLst>
            <a:ext uri="{FF2B5EF4-FFF2-40B4-BE49-F238E27FC236}">
              <a16:creationId xmlns:a16="http://schemas.microsoft.com/office/drawing/2014/main" id="{5ABD0D9F-02DC-42B0-A0D9-25D47A905A18}"/>
            </a:ext>
          </a:extLst>
        </xdr:cNvPr>
        <xdr:cNvSpPr/>
      </xdr:nvSpPr>
      <xdr:spPr>
        <a:xfrm>
          <a:off x="3429000" y="5905500"/>
          <a:ext cx="2286000" cy="19050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regfregreg</a:t>
          </a:r>
          <a:endParaRPr lang="ru-RU" sz="1400" b="1" cap="none" spc="0">
            <a:ln>
              <a:noFill/>
            </a:ln>
            <a:solidFill>
              <a:schemeClr val="accent1">
                <a:lumMod val="40000"/>
                <a:lumOff val="60000"/>
              </a:schemeClr>
            </a:solidFill>
            <a:effectLst/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29</xdr:col>
      <xdr:colOff>0</xdr:colOff>
      <xdr:row>75</xdr:row>
      <xdr:rowOff>0</xdr:rowOff>
    </xdr:to>
    <xdr:grpSp>
      <xdr:nvGrpSpPr>
        <xdr:cNvPr id="895" name="mini_player_card#imageTOP" title="mini_player_card#image">
          <a:extLst>
            <a:ext uri="{FF2B5EF4-FFF2-40B4-BE49-F238E27FC236}">
              <a16:creationId xmlns:a16="http://schemas.microsoft.com/office/drawing/2014/main" id="{C620D2F5-0E45-4E48-AC60-FFA6466225C5}"/>
            </a:ext>
          </a:extLst>
        </xdr:cNvPr>
        <xdr:cNvGrpSpPr/>
      </xdr:nvGrpSpPr>
      <xdr:grpSpPr>
        <a:xfrm>
          <a:off x="857250" y="6191250"/>
          <a:ext cx="1905000" cy="952500"/>
          <a:chOff x="857250" y="6191250"/>
          <a:chExt cx="1905000" cy="952500"/>
        </a:xfrm>
      </xdr:grpSpPr>
      <xdr:sp macro="" textlink="">
        <xdr:nvSpPr>
          <xdr:cNvPr id="896" name="mini_player_card#image" descr="Кода нет, это картинка#Кода нет, это картинка#png#1.5" title="mini_player_card#image">
            <a:extLst>
              <a:ext uri="{FF2B5EF4-FFF2-40B4-BE49-F238E27FC236}">
                <a16:creationId xmlns:a16="http://schemas.microsoft.com/office/drawing/2014/main" id="{CB071D4D-9EDC-4B1F-A67F-D13CF3407F80}"/>
              </a:ext>
            </a:extLst>
          </xdr:cNvPr>
          <xdr:cNvSpPr/>
        </xdr:nvSpPr>
        <xdr:spPr>
          <a:xfrm>
            <a:off x="857250" y="61912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897" name="object">
            <a:extLst>
              <a:ext uri="{FF2B5EF4-FFF2-40B4-BE49-F238E27FC236}">
                <a16:creationId xmlns:a16="http://schemas.microsoft.com/office/drawing/2014/main" id="{24330B84-F0F0-4103-8B4A-618BA4164732}"/>
              </a:ext>
            </a:extLst>
          </xdr:cNvPr>
          <xdr:cNvSpPr/>
        </xdr:nvSpPr>
        <xdr:spPr>
          <a:xfrm>
            <a:off x="952500" y="6286500"/>
            <a:ext cx="1714500" cy="762000"/>
          </a:xfrm>
          <a:prstGeom prst="roundRect">
            <a:avLst>
              <a:gd name="adj" fmla="val 1041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98" name="object">
            <a:extLst>
              <a:ext uri="{FF2B5EF4-FFF2-40B4-BE49-F238E27FC236}">
                <a16:creationId xmlns:a16="http://schemas.microsoft.com/office/drawing/2014/main" id="{202BD05C-4B86-49C8-8FA1-56403FCA878A}"/>
              </a:ext>
            </a:extLst>
          </xdr:cNvPr>
          <xdr:cNvSpPr/>
        </xdr:nvSpPr>
        <xdr:spPr>
          <a:xfrm>
            <a:off x="1047751" y="6381751"/>
            <a:ext cx="571499" cy="571499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63</xdr:col>
      <xdr:colOff>0</xdr:colOff>
      <xdr:row>72</xdr:row>
      <xdr:rowOff>9525</xdr:rowOff>
    </xdr:from>
    <xdr:to>
      <xdr:col>79</xdr:col>
      <xdr:colOff>0</xdr:colOff>
      <xdr:row>82</xdr:row>
      <xdr:rowOff>9525</xdr:rowOff>
    </xdr:to>
    <xdr:sp macro="" textlink="">
      <xdr:nvSpPr>
        <xdr:cNvPr id="899" name="cards_cont#block" descr="objects[obj_name]=new PIXI.Container();&#10;objects[obj_name].visible=false;&#10;objects[obj_name].x=10;&#10;objects[obj_name].y=40;&#10;#for (let i=0;i&lt;objects.mini_cards.length;i++)&#10;objects[obj_name].addChild(objects.mini_cards[i]);&#10;app.stage.addChild(objects[obj_name]);#png" title="cards_cont#block">
          <a:extLst>
            <a:ext uri="{FF2B5EF4-FFF2-40B4-BE49-F238E27FC236}">
              <a16:creationId xmlns:a16="http://schemas.microsoft.com/office/drawing/2014/main" id="{7F205A7B-5923-4983-B6DF-0F36FB063FEC}"/>
            </a:ext>
          </a:extLst>
        </xdr:cNvPr>
        <xdr:cNvSpPr/>
      </xdr:nvSpPr>
      <xdr:spPr>
        <a:xfrm>
          <a:off x="6000750" y="6867525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 для карточек игроков</a:t>
          </a:r>
        </a:p>
      </xdr:txBody>
    </xdr:sp>
    <xdr:clientData/>
  </xdr:twoCellAnchor>
  <xdr:twoCellAnchor>
    <xdr:from>
      <xdr:col>60</xdr:col>
      <xdr:colOff>57150</xdr:colOff>
      <xdr:row>70</xdr:row>
      <xdr:rowOff>9525</xdr:rowOff>
    </xdr:from>
    <xdr:to>
      <xdr:col>73</xdr:col>
      <xdr:colOff>38100</xdr:colOff>
      <xdr:row>77</xdr:row>
      <xdr:rowOff>19050</xdr:rowOff>
    </xdr:to>
    <xdr:sp macro="" textlink="">
      <xdr:nvSpPr>
        <xdr:cNvPr id="900" name="mini_cards#array#15" descr="var num=n;&#10;objects[obj_name][num]=new player_mini_card_class(0,0,num);&#10;##png#1" title="mini_cards#array#15">
          <a:extLst>
            <a:ext uri="{FF2B5EF4-FFF2-40B4-BE49-F238E27FC236}">
              <a16:creationId xmlns:a16="http://schemas.microsoft.com/office/drawing/2014/main" id="{E2AAE064-11B9-4AA8-ACE3-FB3694E6477A}"/>
            </a:ext>
          </a:extLst>
        </xdr:cNvPr>
        <xdr:cNvSpPr/>
      </xdr:nvSpPr>
      <xdr:spPr>
        <a:xfrm>
          <a:off x="5772150" y="6677025"/>
          <a:ext cx="1219200" cy="676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Карточки игроков</a:t>
          </a:r>
        </a:p>
      </xdr:txBody>
    </xdr:sp>
    <xdr:clientData/>
  </xdr:twoCellAnchor>
  <xdr:twoCellAnchor>
    <xdr:from>
      <xdr:col>77</xdr:col>
      <xdr:colOff>0</xdr:colOff>
      <xdr:row>93</xdr:row>
      <xdr:rowOff>0</xdr:rowOff>
    </xdr:from>
    <xdr:to>
      <xdr:col>88</xdr:col>
      <xdr:colOff>0</xdr:colOff>
      <xdr:row>107</xdr:row>
      <xdr:rowOff>0</xdr:rowOff>
    </xdr:to>
    <xdr:grpSp>
      <xdr:nvGrpSpPr>
        <xdr:cNvPr id="901" name="back_button#spriteTOP" title="back_button#sprite">
          <a:extLst>
            <a:ext uri="{FF2B5EF4-FFF2-40B4-BE49-F238E27FC236}">
              <a16:creationId xmlns:a16="http://schemas.microsoft.com/office/drawing/2014/main" id="{4D00AF82-E10B-4C90-838B-87289A48846D}"/>
            </a:ext>
          </a:extLst>
        </xdr:cNvPr>
        <xdr:cNvGrpSpPr/>
      </xdr:nvGrpSpPr>
      <xdr:grpSpPr>
        <a:xfrm>
          <a:off x="7334250" y="8858250"/>
          <a:ext cx="1047750" cy="1333500"/>
          <a:chOff x="7334250" y="13906500"/>
          <a:chExt cx="1047750" cy="1333500"/>
        </a:xfrm>
      </xdr:grpSpPr>
      <xdr:sp macro="" textlink="">
        <xdr:nvSpPr>
          <xdr:cNvPr id="902" name="back_button#sprite" descr="objects[obj_name].sx=objects[obj_name].x=$x;&#10;objects[obj_name].sy=objects[obj_name].y=$y;&#10;objects[obj_name].width=$w;&#10;objects[obj_name].height=$h;&#10;objects[obj_name].visible=false;&#10;objects[obj_name].base_tint=objects[obj_name].tint;&#10;objects[obj_name].buttonMode=true;&#10;objects[obj_name].interactive=true;&#10;objects[obj_name].pointerdown=function(){cards_menu.back_button_down()};&#10;objects[obj_name].pointerover=function(){this.tint=0x55ffff};&#10;objects[obj_name].pointerout=function(){this.tint=this.base_tint};#app.stage.addChild(objects[obj_name]);#png#1.5" title="back_button#sprite">
            <a:extLst>
              <a:ext uri="{FF2B5EF4-FFF2-40B4-BE49-F238E27FC236}">
                <a16:creationId xmlns:a16="http://schemas.microsoft.com/office/drawing/2014/main" id="{FF3C9EE1-A3BA-4EEB-845A-5C3AB2DFF6E9}"/>
              </a:ext>
            </a:extLst>
          </xdr:cNvPr>
          <xdr:cNvSpPr/>
        </xdr:nvSpPr>
        <xdr:spPr>
          <a:xfrm>
            <a:off x="7334250" y="13906500"/>
            <a:ext cx="1047750" cy="1333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03" name="Рисунок 14">
            <a:extLst>
              <a:ext uri="{FF2B5EF4-FFF2-40B4-BE49-F238E27FC236}">
                <a16:creationId xmlns:a16="http://schemas.microsoft.com/office/drawing/2014/main" id="{8195C2C1-7A10-4DCA-BEE3-E6B8EAB011EF}"/>
              </a:ext>
            </a:extLst>
          </xdr:cNvPr>
          <xdr:cNvSpPr/>
        </xdr:nvSpPr>
        <xdr:spPr>
          <a:xfrm>
            <a:off x="7524750" y="14208919"/>
            <a:ext cx="650081" cy="650081"/>
          </a:xfrm>
          <a:custGeom>
            <a:avLst/>
            <a:gdLst>
              <a:gd name="connsiteX0" fmla="*/ 7144 w 485775"/>
              <a:gd name="connsiteY0" fmla="*/ 169144 h 485775"/>
              <a:gd name="connsiteX1" fmla="*/ 7144 w 485775"/>
              <a:gd name="connsiteY1" fmla="*/ 429394 h 485775"/>
              <a:gd name="connsiteX2" fmla="*/ 61144 w 485775"/>
              <a:gd name="connsiteY2" fmla="*/ 483394 h 485775"/>
              <a:gd name="connsiteX3" fmla="*/ 429394 w 485775"/>
              <a:gd name="connsiteY3" fmla="*/ 483394 h 485775"/>
              <a:gd name="connsiteX4" fmla="*/ 483394 w 485775"/>
              <a:gd name="connsiteY4" fmla="*/ 429394 h 485775"/>
              <a:gd name="connsiteX5" fmla="*/ 483394 w 485775"/>
              <a:gd name="connsiteY5" fmla="*/ 61144 h 485775"/>
              <a:gd name="connsiteX6" fmla="*/ 429394 w 485775"/>
              <a:gd name="connsiteY6" fmla="*/ 7144 h 485775"/>
              <a:gd name="connsiteX7" fmla="*/ 169144 w 485775"/>
              <a:gd name="connsiteY7" fmla="*/ 7144 h 485775"/>
              <a:gd name="connsiteX8" fmla="*/ 7144 w 485775"/>
              <a:gd name="connsiteY8" fmla="*/ 169144 h 485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85775" h="485775">
                <a:moveTo>
                  <a:pt x="7144" y="169144"/>
                </a:moveTo>
                <a:lnTo>
                  <a:pt x="7144" y="429394"/>
                </a:lnTo>
                <a:cubicBezTo>
                  <a:pt x="7144" y="459217"/>
                  <a:pt x="31320" y="483394"/>
                  <a:pt x="61144" y="483394"/>
                </a:cubicBezTo>
                <a:lnTo>
                  <a:pt x="429394" y="483394"/>
                </a:lnTo>
                <a:cubicBezTo>
                  <a:pt x="459217" y="483394"/>
                  <a:pt x="483394" y="459217"/>
                  <a:pt x="483394" y="429394"/>
                </a:cubicBezTo>
                <a:lnTo>
                  <a:pt x="483394" y="61144"/>
                </a:lnTo>
                <a:cubicBezTo>
                  <a:pt x="483394" y="31320"/>
                  <a:pt x="459217" y="7144"/>
                  <a:pt x="429394" y="7144"/>
                </a:cubicBezTo>
                <a:lnTo>
                  <a:pt x="169144" y="7144"/>
                </a:lnTo>
                <a:cubicBezTo>
                  <a:pt x="79674" y="7144"/>
                  <a:pt x="7144" y="79674"/>
                  <a:pt x="7144" y="169144"/>
                </a:cubicBezTo>
                <a:close/>
              </a:path>
            </a:pathLst>
          </a:custGeom>
          <a:solidFill>
            <a:srgbClr val="837D7D"/>
          </a:solidFill>
          <a:ln w="9524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9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904" name="Рисунок 18">
            <a:extLst>
              <a:ext uri="{FF2B5EF4-FFF2-40B4-BE49-F238E27FC236}">
                <a16:creationId xmlns:a16="http://schemas.microsoft.com/office/drawing/2014/main" id="{457A7E4D-BA0D-494F-BC1A-C97DA8A3E220}"/>
              </a:ext>
            </a:extLst>
          </xdr:cNvPr>
          <xdr:cNvSpPr/>
        </xdr:nvSpPr>
        <xdr:spPr>
          <a:xfrm>
            <a:off x="7666379" y="14360275"/>
            <a:ext cx="326623" cy="365375"/>
          </a:xfrm>
          <a:custGeom>
            <a:avLst/>
            <a:gdLst>
              <a:gd name="connsiteX0" fmla="*/ 390049 w 397258"/>
              <a:gd name="connsiteY0" fmla="*/ 52106 h 444390"/>
              <a:gd name="connsiteX1" fmla="*/ 386724 w 397258"/>
              <a:gd name="connsiteY1" fmla="*/ 146903 h 444390"/>
              <a:gd name="connsiteX2" fmla="*/ 386724 w 397258"/>
              <a:gd name="connsiteY2" fmla="*/ 299499 h 444390"/>
              <a:gd name="connsiteX3" fmla="*/ 390049 w 397258"/>
              <a:gd name="connsiteY3" fmla="*/ 394296 h 444390"/>
              <a:gd name="connsiteX4" fmla="*/ 350918 w 397258"/>
              <a:gd name="connsiteY4" fmla="*/ 436272 h 444390"/>
              <a:gd name="connsiteX5" fmla="*/ 327987 w 397258"/>
              <a:gd name="connsiteY5" fmla="*/ 430128 h 444390"/>
              <a:gd name="connsiteX6" fmla="*/ 247553 w 397258"/>
              <a:gd name="connsiteY6" fmla="*/ 379849 h 444390"/>
              <a:gd name="connsiteX7" fmla="*/ 115401 w 397258"/>
              <a:gd name="connsiteY7" fmla="*/ 303552 h 444390"/>
              <a:gd name="connsiteX8" fmla="*/ 31641 w 397258"/>
              <a:gd name="connsiteY8" fmla="*/ 259032 h 444390"/>
              <a:gd name="connsiteX9" fmla="*/ 14855 w 397258"/>
              <a:gd name="connsiteY9" fmla="*/ 204156 h 444390"/>
              <a:gd name="connsiteX10" fmla="*/ 31641 w 397258"/>
              <a:gd name="connsiteY10" fmla="*/ 187370 h 444390"/>
              <a:gd name="connsiteX11" fmla="*/ 115401 w 397258"/>
              <a:gd name="connsiteY11" fmla="*/ 142850 h 444390"/>
              <a:gd name="connsiteX12" fmla="*/ 247553 w 397258"/>
              <a:gd name="connsiteY12" fmla="*/ 66553 h 444390"/>
              <a:gd name="connsiteX13" fmla="*/ 327987 w 397258"/>
              <a:gd name="connsiteY13" fmla="*/ 16274 h 444390"/>
              <a:gd name="connsiteX14" fmla="*/ 383904 w 397258"/>
              <a:gd name="connsiteY14" fmla="*/ 29175 h 444390"/>
              <a:gd name="connsiteX15" fmla="*/ 390049 w 397258"/>
              <a:gd name="connsiteY15" fmla="*/ 52106 h 4443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397258" h="444390">
                <a:moveTo>
                  <a:pt x="390049" y="52106"/>
                </a:moveTo>
                <a:lnTo>
                  <a:pt x="386724" y="146903"/>
                </a:lnTo>
                <a:cubicBezTo>
                  <a:pt x="384940" y="197753"/>
                  <a:pt x="384940" y="248649"/>
                  <a:pt x="386724" y="299499"/>
                </a:cubicBezTo>
                <a:lnTo>
                  <a:pt x="390049" y="394296"/>
                </a:lnTo>
                <a:cubicBezTo>
                  <a:pt x="390834" y="416693"/>
                  <a:pt x="373315" y="435486"/>
                  <a:pt x="350918" y="436272"/>
                </a:cubicBezTo>
                <a:cubicBezTo>
                  <a:pt x="342833" y="436556"/>
                  <a:pt x="334847" y="434416"/>
                  <a:pt x="327987" y="430128"/>
                </a:cubicBezTo>
                <a:lnTo>
                  <a:pt x="247553" y="379849"/>
                </a:lnTo>
                <a:cubicBezTo>
                  <a:pt x="204407" y="352880"/>
                  <a:pt x="160329" y="327432"/>
                  <a:pt x="115401" y="303552"/>
                </a:cubicBezTo>
                <a:lnTo>
                  <a:pt x="31641" y="259032"/>
                </a:lnTo>
                <a:cubicBezTo>
                  <a:pt x="11852" y="248514"/>
                  <a:pt x="4337" y="223945"/>
                  <a:pt x="14855" y="204156"/>
                </a:cubicBezTo>
                <a:cubicBezTo>
                  <a:pt x="18652" y="197012"/>
                  <a:pt x="24497" y="191167"/>
                  <a:pt x="31641" y="187370"/>
                </a:cubicBezTo>
                <a:lnTo>
                  <a:pt x="115401" y="142850"/>
                </a:lnTo>
                <a:cubicBezTo>
                  <a:pt x="160329" y="118970"/>
                  <a:pt x="204407" y="93522"/>
                  <a:pt x="247553" y="66553"/>
                </a:cubicBezTo>
                <a:lnTo>
                  <a:pt x="327987" y="16274"/>
                </a:lnTo>
                <a:cubicBezTo>
                  <a:pt x="346990" y="4396"/>
                  <a:pt x="372026" y="10171"/>
                  <a:pt x="383904" y="29175"/>
                </a:cubicBezTo>
                <a:cubicBezTo>
                  <a:pt x="388192" y="36035"/>
                  <a:pt x="390332" y="44021"/>
                  <a:pt x="390049" y="52106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9049" cap="rnd">
            <a:noFill/>
            <a:prstDash val="solid"/>
            <a:round/>
          </a:ln>
          <a:effectLst>
            <a:innerShdw blurRad="63500" dist="50800" dir="13500000">
              <a:schemeClr val="tx1">
                <a:lumMod val="95000"/>
                <a:lumOff val="5000"/>
              </a:schemeClr>
            </a:inn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26</xdr:col>
      <xdr:colOff>0</xdr:colOff>
      <xdr:row>18</xdr:row>
      <xdr:rowOff>57152</xdr:rowOff>
    </xdr:from>
    <xdr:to>
      <xdr:col>72</xdr:col>
      <xdr:colOff>0</xdr:colOff>
      <xdr:row>55</xdr:row>
      <xdr:rowOff>0</xdr:rowOff>
    </xdr:to>
    <xdr:grpSp>
      <xdr:nvGrpSpPr>
        <xdr:cNvPr id="905" name="mb_cont#contTOP">
          <a:extLst>
            <a:ext uri="{FF2B5EF4-FFF2-40B4-BE49-F238E27FC236}">
              <a16:creationId xmlns:a16="http://schemas.microsoft.com/office/drawing/2014/main" id="{16FFDB4E-24E8-4DDD-AFF1-59255259DE13}"/>
            </a:ext>
          </a:extLst>
        </xdr:cNvPr>
        <xdr:cNvGrpSpPr/>
      </xdr:nvGrpSpPr>
      <xdr:grpSpPr>
        <a:xfrm>
          <a:off x="2476500" y="1771652"/>
          <a:ext cx="4381500" cy="3467098"/>
          <a:chOff x="2381250" y="2286001"/>
          <a:chExt cx="4381500" cy="3467098"/>
        </a:xfrm>
      </xdr:grpSpPr>
      <xdr:sp macro="" textlink="">
        <xdr:nvSpPr>
          <xdr:cNvPr id="906" name="pb_title#block" descr="objects[obj_name]=new PIXI.BitmapText(['Играть','Play'][LANG], {fontName: 'mfont',fontSize: $font_size,align: 'center'});&#10;objects[obj_name].anchor.set(0.5,0);&#10;objects[obj_name].x=$x;&#10;objects[obj_name].y=$y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1A971332-BB34-460F-A31E-F8DCDC354E7F}"/>
              </a:ext>
            </a:extLst>
          </xdr:cNvPr>
          <xdr:cNvSpPr/>
        </xdr:nvSpPr>
        <xdr:spPr>
          <a:xfrm>
            <a:off x="3905250" y="3676652"/>
            <a:ext cx="1333500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6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Играть</a:t>
            </a:r>
          </a:p>
        </xdr:txBody>
      </xdr:sp>
      <xdr:sp macro="" textlink="">
        <xdr:nvSpPr>
          <xdr:cNvPr id="907" name="lbb_title#block" descr="objects[obj_name]=new PIXI.BitmapText(['Лидеры','Leaders'][LANG], {fontName: 'mfont',fontSize: $font_size,align: 'center'});&#10;objects[obj_name].anchor.set(0.5,0);&#10;objects[obj_name].x=$x;&#10;objects[obj_name].y=$y;&#10;objects[obj_name].base_tint=objects[obj_name].tint=$t_col;##png" title="req_name#block">
            <a:extLst>
              <a:ext uri="{FF2B5EF4-FFF2-40B4-BE49-F238E27FC236}">
                <a16:creationId xmlns:a16="http://schemas.microsoft.com/office/drawing/2014/main" id="{F5E24F7A-F2C3-4D91-A038-2CCB8AA924B0}"/>
              </a:ext>
            </a:extLst>
          </xdr:cNvPr>
          <xdr:cNvSpPr/>
        </xdr:nvSpPr>
        <xdr:spPr>
          <a:xfrm>
            <a:off x="2381250" y="5200650"/>
            <a:ext cx="1333500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6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Играть</a:t>
            </a:r>
          </a:p>
        </xdr:txBody>
      </xdr:sp>
      <xdr:grpSp>
        <xdr:nvGrpSpPr>
          <xdr:cNvPr id="908" name="pb_bcg#spriteTOP" title="pb_bcg#sprite">
            <a:extLst>
              <a:ext uri="{FF2B5EF4-FFF2-40B4-BE49-F238E27FC236}">
                <a16:creationId xmlns:a16="http://schemas.microsoft.com/office/drawing/2014/main" id="{789F5D56-4037-4836-95A9-DA00EDEFFDF1}"/>
              </a:ext>
            </a:extLst>
          </xdr:cNvPr>
          <xdr:cNvGrpSpPr/>
        </xdr:nvGrpSpPr>
        <xdr:grpSpPr>
          <a:xfrm>
            <a:off x="3905250" y="2286003"/>
            <a:ext cx="1333500" cy="1809749"/>
            <a:chOff x="12382500" y="1322618"/>
            <a:chExt cx="1333500" cy="1680481"/>
          </a:xfrm>
        </xdr:grpSpPr>
        <xdr:sp macro="" textlink="">
          <xdr:nvSpPr>
            <xdr:cNvPr id="924" name="object">
              <a:extLst>
                <a:ext uri="{FF2B5EF4-FFF2-40B4-BE49-F238E27FC236}">
                  <a16:creationId xmlns:a16="http://schemas.microsoft.com/office/drawing/2014/main" id="{E5CDEA14-D6FB-43E9-9AE6-B042AEF6F0F3}"/>
                </a:ext>
              </a:extLst>
            </xdr:cNvPr>
            <xdr:cNvSpPr/>
          </xdr:nvSpPr>
          <xdr:spPr>
            <a:xfrm>
              <a:off x="12477750" y="1499510"/>
              <a:ext cx="1143000" cy="1061355"/>
            </a:xfrm>
            <a:prstGeom prst="roundRect">
              <a:avLst/>
            </a:prstGeom>
            <a:solidFill>
              <a:schemeClr val="bg1">
                <a:lumMod val="50000"/>
              </a:schemeClr>
            </a:solidFill>
            <a:ln w="19050">
              <a:solidFill>
                <a:schemeClr val="bg1">
                  <a:lumMod val="85000"/>
                </a:schemeClr>
              </a:solidFill>
            </a:ln>
            <a:effectLst>
              <a:outerShdw dist="38100" dir="2700000" sx="102000" sy="102000" algn="tl" rotWithShape="0">
                <a:prstClr val="black">
                  <a:alpha val="7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925" name="object">
              <a:extLst>
                <a:ext uri="{FF2B5EF4-FFF2-40B4-BE49-F238E27FC236}">
                  <a16:creationId xmlns:a16="http://schemas.microsoft.com/office/drawing/2014/main" id="{BDDEEA04-3302-4CAF-895C-2B8D1C067536}"/>
                </a:ext>
              </a:extLst>
            </xdr:cNvPr>
            <xdr:cNvSpPr/>
          </xdr:nvSpPr>
          <xdr:spPr>
            <a:xfrm>
              <a:off x="12858750" y="1764847"/>
              <a:ext cx="476250" cy="530679"/>
            </a:xfrm>
            <a:custGeom>
              <a:avLst/>
              <a:gdLst>
                <a:gd name="connsiteX0" fmla="*/ 0 w 666750"/>
                <a:gd name="connsiteY0" fmla="*/ 0 h 523875"/>
                <a:gd name="connsiteX1" fmla="*/ 666750 w 666750"/>
                <a:gd name="connsiteY1" fmla="*/ 0 h 523875"/>
                <a:gd name="connsiteX2" fmla="*/ 666750 w 666750"/>
                <a:gd name="connsiteY2" fmla="*/ 523875 h 523875"/>
                <a:gd name="connsiteX3" fmla="*/ 0 w 666750"/>
                <a:gd name="connsiteY3" fmla="*/ 523875 h 523875"/>
                <a:gd name="connsiteX4" fmla="*/ 0 w 666750"/>
                <a:gd name="connsiteY4" fmla="*/ 0 h 523875"/>
                <a:gd name="connsiteX0" fmla="*/ 0 w 666750"/>
                <a:gd name="connsiteY0" fmla="*/ 0 h 523875"/>
                <a:gd name="connsiteX1" fmla="*/ 666750 w 666750"/>
                <a:gd name="connsiteY1" fmla="*/ 523875 h 523875"/>
                <a:gd name="connsiteX2" fmla="*/ 0 w 666750"/>
                <a:gd name="connsiteY2" fmla="*/ 523875 h 523875"/>
                <a:gd name="connsiteX3" fmla="*/ 0 w 666750"/>
                <a:gd name="connsiteY3" fmla="*/ 0 h 523875"/>
                <a:gd name="connsiteX0" fmla="*/ 0 w 381000"/>
                <a:gd name="connsiteY0" fmla="*/ 0 h 523875"/>
                <a:gd name="connsiteX1" fmla="*/ 381000 w 381000"/>
                <a:gd name="connsiteY1" fmla="*/ 285750 h 523875"/>
                <a:gd name="connsiteX2" fmla="*/ 0 w 381000"/>
                <a:gd name="connsiteY2" fmla="*/ 523875 h 523875"/>
                <a:gd name="connsiteX3" fmla="*/ 0 w 381000"/>
                <a:gd name="connsiteY3" fmla="*/ 0 h 523875"/>
                <a:gd name="connsiteX0" fmla="*/ 0 w 381000"/>
                <a:gd name="connsiteY0" fmla="*/ 0 h 428625"/>
                <a:gd name="connsiteX1" fmla="*/ 381000 w 381000"/>
                <a:gd name="connsiteY1" fmla="*/ 190500 h 428625"/>
                <a:gd name="connsiteX2" fmla="*/ 0 w 381000"/>
                <a:gd name="connsiteY2" fmla="*/ 428625 h 428625"/>
                <a:gd name="connsiteX3" fmla="*/ 0 w 381000"/>
                <a:gd name="connsiteY3" fmla="*/ 0 h 428625"/>
                <a:gd name="connsiteX0" fmla="*/ 0 w 310445"/>
                <a:gd name="connsiteY0" fmla="*/ 0 h 428625"/>
                <a:gd name="connsiteX1" fmla="*/ 310445 w 310445"/>
                <a:gd name="connsiteY1" fmla="*/ 184234 h 428625"/>
                <a:gd name="connsiteX2" fmla="*/ 0 w 310445"/>
                <a:gd name="connsiteY2" fmla="*/ 428625 h 428625"/>
                <a:gd name="connsiteX3" fmla="*/ 0 w 310445"/>
                <a:gd name="connsiteY3" fmla="*/ 0 h 428625"/>
                <a:gd name="connsiteX0" fmla="*/ 0 w 352777"/>
                <a:gd name="connsiteY0" fmla="*/ 0 h 428625"/>
                <a:gd name="connsiteX1" fmla="*/ 352777 w 352777"/>
                <a:gd name="connsiteY1" fmla="*/ 214314 h 428625"/>
                <a:gd name="connsiteX2" fmla="*/ 0 w 352777"/>
                <a:gd name="connsiteY2" fmla="*/ 428625 h 428625"/>
                <a:gd name="connsiteX3" fmla="*/ 0 w 352777"/>
                <a:gd name="connsiteY3" fmla="*/ 0 h 428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52777" h="428625">
                  <a:moveTo>
                    <a:pt x="0" y="0"/>
                  </a:moveTo>
                  <a:lnTo>
                    <a:pt x="352777" y="214314"/>
                  </a:lnTo>
                  <a:lnTo>
                    <a:pt x="0" y="42862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chemeClr val="bg2">
                <a:lumMod val="25000"/>
              </a:schemeClr>
            </a:solidFill>
            <a:ln>
              <a:solidFill>
                <a:schemeClr val="bg1"/>
              </a:solidFill>
            </a:ln>
            <a:effectLst>
              <a:innerShdw dist="101600" dir="14400000">
                <a:prstClr val="black">
                  <a:alpha val="51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926" name="pb_bcg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main_menu.play_button_down()};&#10;objects[obj_name].pointerover=function(){this.tint=0x55ffff};&#10;objects[obj_name].pointerout=function(){this.tint=this.base_tint};##png#1.5" title="play_button#sprite">
              <a:extLst>
                <a:ext uri="{FF2B5EF4-FFF2-40B4-BE49-F238E27FC236}">
                  <a16:creationId xmlns:a16="http://schemas.microsoft.com/office/drawing/2014/main" id="{99C37595-BCA9-4017-B09D-EF5D0F3AF9A7}"/>
                </a:ext>
              </a:extLst>
            </xdr:cNvPr>
            <xdr:cNvSpPr/>
          </xdr:nvSpPr>
          <xdr:spPr>
            <a:xfrm>
              <a:off x="12382500" y="1322618"/>
              <a:ext cx="1333500" cy="1680481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909" name="mb_cont#cont" descr="objects[obj_name]=new PIXI.Container();&#10;objects[obj_name].visible=false;&#10;objects[obj_name].pivot.x = 230;&#10;objects[obj_name].sx=objects[obj_name].x=400;&#10;objects[obj_name].sy=objects[obj_name].y=$y+30;&#10;objects[obj_name].scale_xy=0.7;&#10;&#10;#objects[obj_name].addChild(objects.pb_bcg);&#10;objects[obj_name].addChild(objects.pb_title);&#10;objects[obj_name].addChild(objects.lbb_bcg);&#10;objects[obj_name].addChild(objects.lbb_title);&#10;objects[obj_name].addChild(objects.prefb_bcg);&#10;objects[obj_name].addChild(objects.prefb_title);&#10;objects[obj_name].addChild(objects.rb_bcg);&#10;objects[obj_name].addChild(objects.rb_title);&#10;app.stage.addChild(objects[obj_name]);&#10;#png#1" title="main_buttons_cont#cont">
            <a:extLst>
              <a:ext uri="{FF2B5EF4-FFF2-40B4-BE49-F238E27FC236}">
                <a16:creationId xmlns:a16="http://schemas.microsoft.com/office/drawing/2014/main" id="{B72D3482-58E0-443A-96BE-78ECCD020129}"/>
              </a:ext>
            </a:extLst>
          </xdr:cNvPr>
          <xdr:cNvSpPr/>
        </xdr:nvSpPr>
        <xdr:spPr>
          <a:xfrm>
            <a:off x="2381250" y="2286001"/>
            <a:ext cx="4381500" cy="34290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910" name="lbb_bcg#spriteTOP" title="lbb_bcg#sprite">
            <a:extLst>
              <a:ext uri="{FF2B5EF4-FFF2-40B4-BE49-F238E27FC236}">
                <a16:creationId xmlns:a16="http://schemas.microsoft.com/office/drawing/2014/main" id="{4BC820E7-E36F-4367-B8AF-800580137E4E}"/>
              </a:ext>
            </a:extLst>
          </xdr:cNvPr>
          <xdr:cNvGrpSpPr/>
        </xdr:nvGrpSpPr>
        <xdr:grpSpPr>
          <a:xfrm>
            <a:off x="2381250" y="3943350"/>
            <a:ext cx="1333500" cy="1809749"/>
            <a:chOff x="13827125" y="2425211"/>
            <a:chExt cx="1111250" cy="1531325"/>
          </a:xfrm>
        </xdr:grpSpPr>
        <xdr:sp macro="" textlink="">
          <xdr:nvSpPr>
            <xdr:cNvPr id="921" name="object">
              <a:extLst>
                <a:ext uri="{FF2B5EF4-FFF2-40B4-BE49-F238E27FC236}">
                  <a16:creationId xmlns:a16="http://schemas.microsoft.com/office/drawing/2014/main" id="{F63AA3C9-7A6C-41C0-9AD6-A929CD0C49C5}"/>
                </a:ext>
              </a:extLst>
            </xdr:cNvPr>
            <xdr:cNvSpPr/>
          </xdr:nvSpPr>
          <xdr:spPr>
            <a:xfrm>
              <a:off x="13985875" y="2675058"/>
              <a:ext cx="793750" cy="797902"/>
            </a:xfrm>
            <a:prstGeom prst="roundRect">
              <a:avLst/>
            </a:prstGeom>
            <a:solidFill>
              <a:schemeClr val="bg1">
                <a:lumMod val="50000"/>
              </a:schemeClr>
            </a:solidFill>
            <a:ln w="19050">
              <a:solidFill>
                <a:schemeClr val="bg1">
                  <a:lumMod val="85000"/>
                </a:schemeClr>
              </a:solidFill>
            </a:ln>
            <a:effectLst>
              <a:outerShdw dist="38100" dir="2700000" sx="102000" sy="102000" algn="tl" rotWithShape="0">
                <a:prstClr val="black">
                  <a:alpha val="7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922" name="object">
              <a:extLst>
                <a:ext uri="{FF2B5EF4-FFF2-40B4-BE49-F238E27FC236}">
                  <a16:creationId xmlns:a16="http://schemas.microsoft.com/office/drawing/2014/main" id="{C669C062-0C63-4A63-9050-05598310A936}"/>
                </a:ext>
              </a:extLst>
            </xdr:cNvPr>
            <xdr:cNvSpPr/>
          </xdr:nvSpPr>
          <xdr:spPr>
            <a:xfrm>
              <a:off x="14141450" y="2898531"/>
              <a:ext cx="503238" cy="340701"/>
            </a:xfrm>
            <a:custGeom>
              <a:avLst/>
              <a:gdLst>
                <a:gd name="connsiteX0" fmla="*/ 0 w 666750"/>
                <a:gd name="connsiteY0" fmla="*/ 0 h 523875"/>
                <a:gd name="connsiteX1" fmla="*/ 666750 w 666750"/>
                <a:gd name="connsiteY1" fmla="*/ 0 h 523875"/>
                <a:gd name="connsiteX2" fmla="*/ 666750 w 666750"/>
                <a:gd name="connsiteY2" fmla="*/ 523875 h 523875"/>
                <a:gd name="connsiteX3" fmla="*/ 0 w 666750"/>
                <a:gd name="connsiteY3" fmla="*/ 523875 h 523875"/>
                <a:gd name="connsiteX4" fmla="*/ 0 w 666750"/>
                <a:gd name="connsiteY4" fmla="*/ 0 h 523875"/>
                <a:gd name="connsiteX0" fmla="*/ 0 w 666750"/>
                <a:gd name="connsiteY0" fmla="*/ 0 h 523875"/>
                <a:gd name="connsiteX1" fmla="*/ 666750 w 666750"/>
                <a:gd name="connsiteY1" fmla="*/ 523875 h 523875"/>
                <a:gd name="connsiteX2" fmla="*/ 0 w 666750"/>
                <a:gd name="connsiteY2" fmla="*/ 523875 h 523875"/>
                <a:gd name="connsiteX3" fmla="*/ 0 w 666750"/>
                <a:gd name="connsiteY3" fmla="*/ 0 h 523875"/>
                <a:gd name="connsiteX0" fmla="*/ 0 w 381000"/>
                <a:gd name="connsiteY0" fmla="*/ 0 h 523875"/>
                <a:gd name="connsiteX1" fmla="*/ 381000 w 381000"/>
                <a:gd name="connsiteY1" fmla="*/ 285750 h 523875"/>
                <a:gd name="connsiteX2" fmla="*/ 0 w 381000"/>
                <a:gd name="connsiteY2" fmla="*/ 523875 h 523875"/>
                <a:gd name="connsiteX3" fmla="*/ 0 w 381000"/>
                <a:gd name="connsiteY3" fmla="*/ 0 h 523875"/>
                <a:gd name="connsiteX0" fmla="*/ 0 w 381000"/>
                <a:gd name="connsiteY0" fmla="*/ 0 h 428625"/>
                <a:gd name="connsiteX1" fmla="*/ 381000 w 381000"/>
                <a:gd name="connsiteY1" fmla="*/ 190500 h 428625"/>
                <a:gd name="connsiteX2" fmla="*/ 0 w 381000"/>
                <a:gd name="connsiteY2" fmla="*/ 428625 h 428625"/>
                <a:gd name="connsiteX3" fmla="*/ 0 w 381000"/>
                <a:gd name="connsiteY3" fmla="*/ 0 h 428625"/>
                <a:gd name="connsiteX0" fmla="*/ 0 w 825500"/>
                <a:gd name="connsiteY0" fmla="*/ 0 h 428625"/>
                <a:gd name="connsiteX1" fmla="*/ 825500 w 825500"/>
                <a:gd name="connsiteY1" fmla="*/ 428625 h 428625"/>
                <a:gd name="connsiteX2" fmla="*/ 0 w 825500"/>
                <a:gd name="connsiteY2" fmla="*/ 428625 h 428625"/>
                <a:gd name="connsiteX3" fmla="*/ 0 w 825500"/>
                <a:gd name="connsiteY3" fmla="*/ 0 h 428625"/>
                <a:gd name="connsiteX0" fmla="*/ 0 w 825500"/>
                <a:gd name="connsiteY0" fmla="*/ 0 h 428625"/>
                <a:gd name="connsiteX1" fmla="*/ 266700 w 825500"/>
                <a:gd name="connsiteY1" fmla="*/ 157163 h 428625"/>
                <a:gd name="connsiteX2" fmla="*/ 825500 w 825500"/>
                <a:gd name="connsiteY2" fmla="*/ 428625 h 428625"/>
                <a:gd name="connsiteX3" fmla="*/ 0 w 825500"/>
                <a:gd name="connsiteY3" fmla="*/ 428625 h 428625"/>
                <a:gd name="connsiteX4" fmla="*/ 0 w 825500"/>
                <a:gd name="connsiteY4" fmla="*/ 0 h 428625"/>
                <a:gd name="connsiteX0" fmla="*/ 0 w 825500"/>
                <a:gd name="connsiteY0" fmla="*/ 0 h 428625"/>
                <a:gd name="connsiteX1" fmla="*/ 254000 w 825500"/>
                <a:gd name="connsiteY1" fmla="*/ 0 h 428625"/>
                <a:gd name="connsiteX2" fmla="*/ 825500 w 825500"/>
                <a:gd name="connsiteY2" fmla="*/ 428625 h 428625"/>
                <a:gd name="connsiteX3" fmla="*/ 0 w 825500"/>
                <a:gd name="connsiteY3" fmla="*/ 428625 h 428625"/>
                <a:gd name="connsiteX4" fmla="*/ 0 w 825500"/>
                <a:gd name="connsiteY4" fmla="*/ 0 h 428625"/>
                <a:gd name="connsiteX0" fmla="*/ 0 w 825500"/>
                <a:gd name="connsiteY0" fmla="*/ 0 h 428625"/>
                <a:gd name="connsiteX1" fmla="*/ 254000 w 825500"/>
                <a:gd name="connsiteY1" fmla="*/ 0 h 428625"/>
                <a:gd name="connsiteX2" fmla="*/ 622300 w 825500"/>
                <a:gd name="connsiteY2" fmla="*/ 257175 h 428625"/>
                <a:gd name="connsiteX3" fmla="*/ 825500 w 825500"/>
                <a:gd name="connsiteY3" fmla="*/ 428625 h 428625"/>
                <a:gd name="connsiteX4" fmla="*/ 0 w 825500"/>
                <a:gd name="connsiteY4" fmla="*/ 428625 h 428625"/>
                <a:gd name="connsiteX5" fmla="*/ 0 w 825500"/>
                <a:gd name="connsiteY5" fmla="*/ 0 h 42862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825500 w 825500"/>
                <a:gd name="connsiteY3" fmla="*/ 714375 h 714375"/>
                <a:gd name="connsiteX4" fmla="*/ 0 w 825500"/>
                <a:gd name="connsiteY4" fmla="*/ 714375 h 714375"/>
                <a:gd name="connsiteX5" fmla="*/ 0 w 825500"/>
                <a:gd name="connsiteY5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84200 w 825500"/>
                <a:gd name="connsiteY3" fmla="*/ 457200 h 714375"/>
                <a:gd name="connsiteX4" fmla="*/ 825500 w 825500"/>
                <a:gd name="connsiteY4" fmla="*/ 714375 h 714375"/>
                <a:gd name="connsiteX5" fmla="*/ 0 w 825500"/>
                <a:gd name="connsiteY5" fmla="*/ 714375 h 714375"/>
                <a:gd name="connsiteX6" fmla="*/ 0 w 825500"/>
                <a:gd name="connsiteY6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825500 w 825500"/>
                <a:gd name="connsiteY4" fmla="*/ 714375 h 714375"/>
                <a:gd name="connsiteX5" fmla="*/ 0 w 825500"/>
                <a:gd name="connsiteY5" fmla="*/ 714375 h 714375"/>
                <a:gd name="connsiteX6" fmla="*/ 0 w 825500"/>
                <a:gd name="connsiteY6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723900 w 825500"/>
                <a:gd name="connsiteY4" fmla="*/ 457200 h 714375"/>
                <a:gd name="connsiteX5" fmla="*/ 825500 w 825500"/>
                <a:gd name="connsiteY5" fmla="*/ 714375 h 714375"/>
                <a:gd name="connsiteX6" fmla="*/ 0 w 825500"/>
                <a:gd name="connsiteY6" fmla="*/ 714375 h 714375"/>
                <a:gd name="connsiteX7" fmla="*/ 0 w 825500"/>
                <a:gd name="connsiteY7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508000 w 825500"/>
                <a:gd name="connsiteY4" fmla="*/ 428625 h 714375"/>
                <a:gd name="connsiteX5" fmla="*/ 825500 w 825500"/>
                <a:gd name="connsiteY5" fmla="*/ 714375 h 714375"/>
                <a:gd name="connsiteX6" fmla="*/ 0 w 825500"/>
                <a:gd name="connsiteY6" fmla="*/ 714375 h 714375"/>
                <a:gd name="connsiteX7" fmla="*/ 0 w 825500"/>
                <a:gd name="connsiteY7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508000 w 825500"/>
                <a:gd name="connsiteY4" fmla="*/ 428625 h 714375"/>
                <a:gd name="connsiteX5" fmla="*/ 711200 w 825500"/>
                <a:gd name="connsiteY5" fmla="*/ 614363 h 714375"/>
                <a:gd name="connsiteX6" fmla="*/ 825500 w 825500"/>
                <a:gd name="connsiteY6" fmla="*/ 714375 h 714375"/>
                <a:gd name="connsiteX7" fmla="*/ 0 w 825500"/>
                <a:gd name="connsiteY7" fmla="*/ 714375 h 714375"/>
                <a:gd name="connsiteX8" fmla="*/ 0 w 825500"/>
                <a:gd name="connsiteY8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508000 w 825500"/>
                <a:gd name="connsiteY4" fmla="*/ 428625 h 714375"/>
                <a:gd name="connsiteX5" fmla="*/ 762000 w 825500"/>
                <a:gd name="connsiteY5" fmla="*/ 428625 h 714375"/>
                <a:gd name="connsiteX6" fmla="*/ 825500 w 825500"/>
                <a:gd name="connsiteY6" fmla="*/ 714375 h 714375"/>
                <a:gd name="connsiteX7" fmla="*/ 0 w 825500"/>
                <a:gd name="connsiteY7" fmla="*/ 714375 h 714375"/>
                <a:gd name="connsiteX8" fmla="*/ 0 w 825500"/>
                <a:gd name="connsiteY8" fmla="*/ 285750 h 714375"/>
                <a:gd name="connsiteX0" fmla="*/ 0 w 762000"/>
                <a:gd name="connsiteY0" fmla="*/ 285750 h 714375"/>
                <a:gd name="connsiteX1" fmla="*/ 254000 w 762000"/>
                <a:gd name="connsiteY1" fmla="*/ 285750 h 714375"/>
                <a:gd name="connsiteX2" fmla="*/ 254000 w 762000"/>
                <a:gd name="connsiteY2" fmla="*/ 0 h 714375"/>
                <a:gd name="connsiteX3" fmla="*/ 508000 w 762000"/>
                <a:gd name="connsiteY3" fmla="*/ 0 h 714375"/>
                <a:gd name="connsiteX4" fmla="*/ 508000 w 762000"/>
                <a:gd name="connsiteY4" fmla="*/ 428625 h 714375"/>
                <a:gd name="connsiteX5" fmla="*/ 762000 w 762000"/>
                <a:gd name="connsiteY5" fmla="*/ 428625 h 714375"/>
                <a:gd name="connsiteX6" fmla="*/ 762000 w 762000"/>
                <a:gd name="connsiteY6" fmla="*/ 714375 h 714375"/>
                <a:gd name="connsiteX7" fmla="*/ 0 w 762000"/>
                <a:gd name="connsiteY7" fmla="*/ 714375 h 714375"/>
                <a:gd name="connsiteX8" fmla="*/ 0 w 762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508000 w 1016000"/>
                <a:gd name="connsiteY3" fmla="*/ 0 h 714375"/>
                <a:gd name="connsiteX4" fmla="*/ 508000 w 1016000"/>
                <a:gd name="connsiteY4" fmla="*/ 428625 h 714375"/>
                <a:gd name="connsiteX5" fmla="*/ 762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508000 w 1016000"/>
                <a:gd name="connsiteY3" fmla="*/ 0 h 714375"/>
                <a:gd name="connsiteX4" fmla="*/ 508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508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635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254000 w 1016000"/>
                <a:gd name="connsiteY2" fmla="*/ 0 h 714375"/>
                <a:gd name="connsiteX3" fmla="*/ 635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381000 w 1016000"/>
                <a:gd name="connsiteY2" fmla="*/ 0 h 714375"/>
                <a:gd name="connsiteX3" fmla="*/ 635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381000 w 1016000"/>
                <a:gd name="connsiteY2" fmla="*/ 0 h 714375"/>
                <a:gd name="connsiteX3" fmla="*/ 762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381000 w 1016000"/>
                <a:gd name="connsiteY2" fmla="*/ 0 h 714375"/>
                <a:gd name="connsiteX3" fmla="*/ 762000 w 1016000"/>
                <a:gd name="connsiteY3" fmla="*/ 0 h 714375"/>
                <a:gd name="connsiteX4" fmla="*/ 762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143000"/>
                <a:gd name="connsiteY0" fmla="*/ 285750 h 714375"/>
                <a:gd name="connsiteX1" fmla="*/ 381000 w 1143000"/>
                <a:gd name="connsiteY1" fmla="*/ 285750 h 714375"/>
                <a:gd name="connsiteX2" fmla="*/ 381000 w 1143000"/>
                <a:gd name="connsiteY2" fmla="*/ 0 h 714375"/>
                <a:gd name="connsiteX3" fmla="*/ 762000 w 1143000"/>
                <a:gd name="connsiteY3" fmla="*/ 0 h 714375"/>
                <a:gd name="connsiteX4" fmla="*/ 762000 w 1143000"/>
                <a:gd name="connsiteY4" fmla="*/ 428625 h 714375"/>
                <a:gd name="connsiteX5" fmla="*/ 1143000 w 1143000"/>
                <a:gd name="connsiteY5" fmla="*/ 428625 h 714375"/>
                <a:gd name="connsiteX6" fmla="*/ 1016000 w 1143000"/>
                <a:gd name="connsiteY6" fmla="*/ 714375 h 714375"/>
                <a:gd name="connsiteX7" fmla="*/ 0 w 1143000"/>
                <a:gd name="connsiteY7" fmla="*/ 714375 h 714375"/>
                <a:gd name="connsiteX8" fmla="*/ 0 w 1143000"/>
                <a:gd name="connsiteY8" fmla="*/ 285750 h 714375"/>
                <a:gd name="connsiteX0" fmla="*/ 0 w 1143000"/>
                <a:gd name="connsiteY0" fmla="*/ 285750 h 714375"/>
                <a:gd name="connsiteX1" fmla="*/ 381000 w 1143000"/>
                <a:gd name="connsiteY1" fmla="*/ 285750 h 714375"/>
                <a:gd name="connsiteX2" fmla="*/ 381000 w 1143000"/>
                <a:gd name="connsiteY2" fmla="*/ 0 h 714375"/>
                <a:gd name="connsiteX3" fmla="*/ 762000 w 1143000"/>
                <a:gd name="connsiteY3" fmla="*/ 0 h 714375"/>
                <a:gd name="connsiteX4" fmla="*/ 762000 w 1143000"/>
                <a:gd name="connsiteY4" fmla="*/ 428625 h 714375"/>
                <a:gd name="connsiteX5" fmla="*/ 1143000 w 1143000"/>
                <a:gd name="connsiteY5" fmla="*/ 428625 h 714375"/>
                <a:gd name="connsiteX6" fmla="*/ 1143000 w 1143000"/>
                <a:gd name="connsiteY6" fmla="*/ 714375 h 714375"/>
                <a:gd name="connsiteX7" fmla="*/ 0 w 1143000"/>
                <a:gd name="connsiteY7" fmla="*/ 714375 h 714375"/>
                <a:gd name="connsiteX8" fmla="*/ 0 w 1143000"/>
                <a:gd name="connsiteY8" fmla="*/ 285750 h 714375"/>
                <a:gd name="connsiteX0" fmla="*/ 18738 w 1143000"/>
                <a:gd name="connsiteY0" fmla="*/ 0 h 714375"/>
                <a:gd name="connsiteX1" fmla="*/ 381000 w 1143000"/>
                <a:gd name="connsiteY1" fmla="*/ 285750 h 714375"/>
                <a:gd name="connsiteX2" fmla="*/ 381000 w 1143000"/>
                <a:gd name="connsiteY2" fmla="*/ 0 h 714375"/>
                <a:gd name="connsiteX3" fmla="*/ 762000 w 1143000"/>
                <a:gd name="connsiteY3" fmla="*/ 0 h 714375"/>
                <a:gd name="connsiteX4" fmla="*/ 762000 w 1143000"/>
                <a:gd name="connsiteY4" fmla="*/ 428625 h 714375"/>
                <a:gd name="connsiteX5" fmla="*/ 1143000 w 1143000"/>
                <a:gd name="connsiteY5" fmla="*/ 428625 h 714375"/>
                <a:gd name="connsiteX6" fmla="*/ 1143000 w 1143000"/>
                <a:gd name="connsiteY6" fmla="*/ 714375 h 714375"/>
                <a:gd name="connsiteX7" fmla="*/ 0 w 1143000"/>
                <a:gd name="connsiteY7" fmla="*/ 714375 h 714375"/>
                <a:gd name="connsiteX8" fmla="*/ 18738 w 1143000"/>
                <a:gd name="connsiteY8" fmla="*/ 0 h 714375"/>
                <a:gd name="connsiteX0" fmla="*/ 18738 w 1143000"/>
                <a:gd name="connsiteY0" fmla="*/ 285750 h 1000125"/>
                <a:gd name="connsiteX1" fmla="*/ 381000 w 1143000"/>
                <a:gd name="connsiteY1" fmla="*/ 571500 h 1000125"/>
                <a:gd name="connsiteX2" fmla="*/ 393492 w 1143000"/>
                <a:gd name="connsiteY2" fmla="*/ 0 h 1000125"/>
                <a:gd name="connsiteX3" fmla="*/ 762000 w 1143000"/>
                <a:gd name="connsiteY3" fmla="*/ 285750 h 1000125"/>
                <a:gd name="connsiteX4" fmla="*/ 762000 w 1143000"/>
                <a:gd name="connsiteY4" fmla="*/ 71437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81000 w 1143000"/>
                <a:gd name="connsiteY1" fmla="*/ 57150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2000 w 1143000"/>
                <a:gd name="connsiteY4" fmla="*/ 71437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2000 w 1143000"/>
                <a:gd name="connsiteY4" fmla="*/ 71437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8246 w 1143000"/>
                <a:gd name="connsiteY4" fmla="*/ 42862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8246 w 1143000"/>
                <a:gd name="connsiteY4" fmla="*/ 428625 h 1000125"/>
                <a:gd name="connsiteX5" fmla="*/ 1143000 w 1143000"/>
                <a:gd name="connsiteY5" fmla="*/ 42862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8246 w 1143000"/>
                <a:gd name="connsiteY4" fmla="*/ 428625 h 1000125"/>
                <a:gd name="connsiteX5" fmla="*/ 1143000 w 1143000"/>
                <a:gd name="connsiteY5" fmla="*/ 42862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0 w 1124262"/>
                <a:gd name="connsiteY0" fmla="*/ 285750 h 1000125"/>
                <a:gd name="connsiteX1" fmla="*/ 374754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8 w 1124262"/>
                <a:gd name="connsiteY4" fmla="*/ 428625 h 1000125"/>
                <a:gd name="connsiteX5" fmla="*/ 1124262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0 w 1124262"/>
                <a:gd name="connsiteY0" fmla="*/ 285750 h 1000125"/>
                <a:gd name="connsiteX1" fmla="*/ 374752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8 w 1124262"/>
                <a:gd name="connsiteY4" fmla="*/ 428625 h 1000125"/>
                <a:gd name="connsiteX5" fmla="*/ 1124262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0 w 1124262"/>
                <a:gd name="connsiteY0" fmla="*/ 285750 h 1000125"/>
                <a:gd name="connsiteX1" fmla="*/ 374752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8 w 1124262"/>
                <a:gd name="connsiteY4" fmla="*/ 428625 h 1000125"/>
                <a:gd name="connsiteX5" fmla="*/ 1124260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0 w 1124262"/>
                <a:gd name="connsiteY0" fmla="*/ 285750 h 1000125"/>
                <a:gd name="connsiteX1" fmla="*/ 374752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6 w 1124262"/>
                <a:gd name="connsiteY4" fmla="*/ 428625 h 1000125"/>
                <a:gd name="connsiteX5" fmla="*/ 1124260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2 w 1124264"/>
                <a:gd name="connsiteY0" fmla="*/ 285750 h 1000125"/>
                <a:gd name="connsiteX1" fmla="*/ 374754 w 1124264"/>
                <a:gd name="connsiteY1" fmla="*/ 285750 h 1000125"/>
                <a:gd name="connsiteX2" fmla="*/ 374756 w 1124264"/>
                <a:gd name="connsiteY2" fmla="*/ 0 h 1000125"/>
                <a:gd name="connsiteX3" fmla="*/ 749510 w 1124264"/>
                <a:gd name="connsiteY3" fmla="*/ 0 h 1000125"/>
                <a:gd name="connsiteX4" fmla="*/ 749508 w 1124264"/>
                <a:gd name="connsiteY4" fmla="*/ 428625 h 1000125"/>
                <a:gd name="connsiteX5" fmla="*/ 1124262 w 1124264"/>
                <a:gd name="connsiteY5" fmla="*/ 428625 h 1000125"/>
                <a:gd name="connsiteX6" fmla="*/ 1124264 w 1124264"/>
                <a:gd name="connsiteY6" fmla="*/ 1000125 h 1000125"/>
                <a:gd name="connsiteX7" fmla="*/ 0 w 1124264"/>
                <a:gd name="connsiteY7" fmla="*/ 714375 h 1000125"/>
                <a:gd name="connsiteX8" fmla="*/ 2 w 1124264"/>
                <a:gd name="connsiteY8" fmla="*/ 285750 h 1000125"/>
                <a:gd name="connsiteX0" fmla="*/ 2 w 1124264"/>
                <a:gd name="connsiteY0" fmla="*/ 285750 h 714375"/>
                <a:gd name="connsiteX1" fmla="*/ 374754 w 1124264"/>
                <a:gd name="connsiteY1" fmla="*/ 285750 h 714375"/>
                <a:gd name="connsiteX2" fmla="*/ 374756 w 1124264"/>
                <a:gd name="connsiteY2" fmla="*/ 0 h 714375"/>
                <a:gd name="connsiteX3" fmla="*/ 749510 w 1124264"/>
                <a:gd name="connsiteY3" fmla="*/ 0 h 714375"/>
                <a:gd name="connsiteX4" fmla="*/ 749508 w 1124264"/>
                <a:gd name="connsiteY4" fmla="*/ 428625 h 714375"/>
                <a:gd name="connsiteX5" fmla="*/ 1124262 w 1124264"/>
                <a:gd name="connsiteY5" fmla="*/ 428625 h 714375"/>
                <a:gd name="connsiteX6" fmla="*/ 1124264 w 1124264"/>
                <a:gd name="connsiteY6" fmla="*/ 714375 h 714375"/>
                <a:gd name="connsiteX7" fmla="*/ 0 w 1124264"/>
                <a:gd name="connsiteY7" fmla="*/ 714375 h 714375"/>
                <a:gd name="connsiteX8" fmla="*/ 2 w 1124264"/>
                <a:gd name="connsiteY8" fmla="*/ 285750 h 7143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124264" h="714375">
                  <a:moveTo>
                    <a:pt x="2" y="285750"/>
                  </a:moveTo>
                  <a:lnTo>
                    <a:pt x="374754" y="285750"/>
                  </a:lnTo>
                  <a:cubicBezTo>
                    <a:pt x="374755" y="190500"/>
                    <a:pt x="374755" y="95250"/>
                    <a:pt x="374756" y="0"/>
                  </a:cubicBezTo>
                  <a:lnTo>
                    <a:pt x="749510" y="0"/>
                  </a:lnTo>
                  <a:cubicBezTo>
                    <a:pt x="749509" y="142875"/>
                    <a:pt x="749509" y="285750"/>
                    <a:pt x="749508" y="428625"/>
                  </a:cubicBezTo>
                  <a:lnTo>
                    <a:pt x="1124262" y="428625"/>
                  </a:lnTo>
                  <a:cubicBezTo>
                    <a:pt x="1124263" y="619125"/>
                    <a:pt x="1124263" y="523875"/>
                    <a:pt x="1124264" y="714375"/>
                  </a:cubicBezTo>
                  <a:lnTo>
                    <a:pt x="0" y="714375"/>
                  </a:lnTo>
                  <a:cubicBezTo>
                    <a:pt x="1" y="571500"/>
                    <a:pt x="1" y="428625"/>
                    <a:pt x="2" y="285750"/>
                  </a:cubicBezTo>
                  <a:close/>
                </a:path>
              </a:pathLst>
            </a:custGeom>
            <a:solidFill>
              <a:schemeClr val="bg2">
                <a:lumMod val="25000"/>
              </a:schemeClr>
            </a:solidFill>
            <a:ln>
              <a:solidFill>
                <a:schemeClr val="bg1"/>
              </a:solidFill>
            </a:ln>
            <a:effectLst>
              <a:innerShdw dist="76200" dir="14400000">
                <a:prstClr val="black">
                  <a:alpha val="51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923" name="lbb_bcg#sprite" descr="objects[obj_name].x=$x;&#10;objects[obj_name].y=$y;&#10;objects[obj_name].width=$w;&#10;objects[obj_name].height=$h;&#10;objects[obj_name].buttonMode=true;&#10;objects[obj_name].interactive=true;&#10;objects[obj_name].pointerdown=function(){main_menu.lb_button_down()};&#10;objects[obj_name].pointerover=function(){this.tint=0x55ffff};&#10;objects[obj_name].pointerout=function(){this.tint=this.base_tint};&#10;objects[obj_name].base_tint=objects[obj_name].tint;##png#1.5" title="lb_button#sprite">
              <a:extLst>
                <a:ext uri="{FF2B5EF4-FFF2-40B4-BE49-F238E27FC236}">
                  <a16:creationId xmlns:a16="http://schemas.microsoft.com/office/drawing/2014/main" id="{402C0CF5-D613-475E-99FD-A7F9D8185F5D}"/>
                </a:ext>
              </a:extLst>
            </xdr:cNvPr>
            <xdr:cNvSpPr/>
          </xdr:nvSpPr>
          <xdr:spPr>
            <a:xfrm>
              <a:off x="13827125" y="2425211"/>
              <a:ext cx="1111250" cy="1531325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911" name="prefb_bcg#spriteTOP" title="prefb_bcg#sprite">
            <a:extLst>
              <a:ext uri="{FF2B5EF4-FFF2-40B4-BE49-F238E27FC236}">
                <a16:creationId xmlns:a16="http://schemas.microsoft.com/office/drawing/2014/main" id="{C5F522C5-D98B-4FB4-96AF-C721CEF8913B}"/>
              </a:ext>
            </a:extLst>
          </xdr:cNvPr>
          <xdr:cNvGrpSpPr/>
        </xdr:nvGrpSpPr>
        <xdr:grpSpPr>
          <a:xfrm>
            <a:off x="3905246" y="3924301"/>
            <a:ext cx="1333496" cy="1809748"/>
            <a:chOff x="3905246" y="3714751"/>
            <a:chExt cx="1333496" cy="1809748"/>
          </a:xfrm>
        </xdr:grpSpPr>
        <xdr:sp macro="" textlink="">
          <xdr:nvSpPr>
            <xdr:cNvPr id="918" name="object">
              <a:extLst>
                <a:ext uri="{FF2B5EF4-FFF2-40B4-BE49-F238E27FC236}">
                  <a16:creationId xmlns:a16="http://schemas.microsoft.com/office/drawing/2014/main" id="{FB760724-ADD0-47B8-86C7-EAF2D00DAEF0}"/>
                </a:ext>
              </a:extLst>
            </xdr:cNvPr>
            <xdr:cNvSpPr/>
          </xdr:nvSpPr>
          <xdr:spPr>
            <a:xfrm>
              <a:off x="4095750" y="4010891"/>
              <a:ext cx="952500" cy="961160"/>
            </a:xfrm>
            <a:prstGeom prst="roundRect">
              <a:avLst/>
            </a:prstGeom>
            <a:solidFill>
              <a:schemeClr val="bg1">
                <a:lumMod val="50000"/>
              </a:schemeClr>
            </a:solidFill>
            <a:ln w="19050">
              <a:solidFill>
                <a:schemeClr val="bg1">
                  <a:lumMod val="85000"/>
                </a:schemeClr>
              </a:solidFill>
            </a:ln>
            <a:effectLst>
              <a:outerShdw dist="38100" dir="2700000" sx="102000" sy="102000" algn="tl" rotWithShape="0">
                <a:prstClr val="black">
                  <a:alpha val="7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919" name="prefb_bcg#sprite" descr="objects[obj_name].x=$x;&#10;objects[obj_name].y=$y;&#10;objects[obj_name].width=$w;&#10;objects[obj_name].height=$h;&#10;objects[obj_name].buttonMode=true;&#10;objects[obj_name].interactive=true;&#10;objects[obj_name].pointerdown=function(){main_menu.pref_button_down()};&#10;objects[obj_name].base_tint=objects[obj_name].tint;&#10;objects[obj_name].pointerover=function(){this.tint=0x55ffff};&#10;objects[obj_name].pointerout=function(){this.tint=this.base_tint};##png#1.5" title="preferences_button#sprite">
              <a:extLst>
                <a:ext uri="{FF2B5EF4-FFF2-40B4-BE49-F238E27FC236}">
                  <a16:creationId xmlns:a16="http://schemas.microsoft.com/office/drawing/2014/main" id="{85D03DC4-5336-4DBD-ABB1-0EAB85D1E7A2}"/>
                </a:ext>
              </a:extLst>
            </xdr:cNvPr>
            <xdr:cNvSpPr/>
          </xdr:nvSpPr>
          <xdr:spPr>
            <a:xfrm>
              <a:off x="3905246" y="3714751"/>
              <a:ext cx="1333496" cy="1809748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920" name="object">
              <a:extLst>
                <a:ext uri="{FF2B5EF4-FFF2-40B4-BE49-F238E27FC236}">
                  <a16:creationId xmlns:a16="http://schemas.microsoft.com/office/drawing/2014/main" id="{829B0442-456C-4AC8-92D8-CA7F56BC5E19}"/>
                </a:ext>
              </a:extLst>
            </xdr:cNvPr>
            <xdr:cNvSpPr/>
          </xdr:nvSpPr>
          <xdr:spPr>
            <a:xfrm>
              <a:off x="4307167" y="4230890"/>
              <a:ext cx="531531" cy="493510"/>
            </a:xfrm>
            <a:custGeom>
              <a:avLst/>
              <a:gdLst>
                <a:gd name="connsiteX0" fmla="*/ -3 w 1143000"/>
                <a:gd name="connsiteY0" fmla="*/ 735071 h 1143000"/>
                <a:gd name="connsiteX1" fmla="*/ 176009 w 1143000"/>
                <a:gd name="connsiteY1" fmla="*/ 508686 h 1143000"/>
                <a:gd name="connsiteX2" fmla="*/ 113192 w 1143000"/>
                <a:gd name="connsiteY2" fmla="*/ 226386 h 1143000"/>
                <a:gd name="connsiteX3" fmla="*/ 395492 w 1143000"/>
                <a:gd name="connsiteY3" fmla="*/ 226387 h 1143000"/>
                <a:gd name="connsiteX4" fmla="*/ 571500 w 1143000"/>
                <a:gd name="connsiteY4" fmla="*/ 0 h 1143000"/>
                <a:gd name="connsiteX5" fmla="*/ 747508 w 1143000"/>
                <a:gd name="connsiteY5" fmla="*/ 226387 h 1143000"/>
                <a:gd name="connsiteX6" fmla="*/ 1029808 w 1143000"/>
                <a:gd name="connsiteY6" fmla="*/ 226386 h 1143000"/>
                <a:gd name="connsiteX7" fmla="*/ 966991 w 1143000"/>
                <a:gd name="connsiteY7" fmla="*/ 508686 h 1143000"/>
                <a:gd name="connsiteX8" fmla="*/ 1143003 w 1143000"/>
                <a:gd name="connsiteY8" fmla="*/ 735071 h 1143000"/>
                <a:gd name="connsiteX9" fmla="*/ 888658 w 1143000"/>
                <a:gd name="connsiteY9" fmla="*/ 860706 h 1143000"/>
                <a:gd name="connsiteX10" fmla="*/ 825840 w 1143000"/>
                <a:gd name="connsiteY10" fmla="*/ 1143006 h 1143000"/>
                <a:gd name="connsiteX11" fmla="*/ 571500 w 1143000"/>
                <a:gd name="connsiteY11" fmla="*/ 1017370 h 1143000"/>
                <a:gd name="connsiteX12" fmla="*/ 317160 w 1143000"/>
                <a:gd name="connsiteY12" fmla="*/ 1143006 h 1143000"/>
                <a:gd name="connsiteX13" fmla="*/ 254342 w 1143000"/>
                <a:gd name="connsiteY13" fmla="*/ 860706 h 1143000"/>
                <a:gd name="connsiteX14" fmla="*/ -3 w 1143000"/>
                <a:gd name="connsiteY14" fmla="*/ 735071 h 1143000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506019 w 1143006"/>
                <a:gd name="connsiteY4" fmla="*/ 65484 h 1143006"/>
                <a:gd name="connsiteX5" fmla="*/ 571503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571503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1012034 w 1143006"/>
                <a:gd name="connsiteY8" fmla="*/ 321469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1023940 w 1143006"/>
                <a:gd name="connsiteY11" fmla="*/ 797719 h 1143006"/>
                <a:gd name="connsiteX12" fmla="*/ 888661 w 1143006"/>
                <a:gd name="connsiteY12" fmla="*/ 860706 h 1143006"/>
                <a:gd name="connsiteX13" fmla="*/ 825843 w 1143006"/>
                <a:gd name="connsiteY13" fmla="*/ 1143006 h 1143006"/>
                <a:gd name="connsiteX14" fmla="*/ 571503 w 1143006"/>
                <a:gd name="connsiteY14" fmla="*/ 1017370 h 1143006"/>
                <a:gd name="connsiteX15" fmla="*/ 317163 w 1143006"/>
                <a:gd name="connsiteY15" fmla="*/ 1143006 h 1143006"/>
                <a:gd name="connsiteX16" fmla="*/ 254345 w 1143006"/>
                <a:gd name="connsiteY16" fmla="*/ 860706 h 1143006"/>
                <a:gd name="connsiteX17" fmla="*/ 0 w 1143006"/>
                <a:gd name="connsiteY17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1065612 w 1143006"/>
                <a:gd name="connsiteY11" fmla="*/ 898922 h 1143006"/>
                <a:gd name="connsiteX12" fmla="*/ 888661 w 1143006"/>
                <a:gd name="connsiteY12" fmla="*/ 860706 h 1143006"/>
                <a:gd name="connsiteX13" fmla="*/ 825843 w 1143006"/>
                <a:gd name="connsiteY13" fmla="*/ 1143006 h 1143006"/>
                <a:gd name="connsiteX14" fmla="*/ 571503 w 1143006"/>
                <a:gd name="connsiteY14" fmla="*/ 1017370 h 1143006"/>
                <a:gd name="connsiteX15" fmla="*/ 317163 w 1143006"/>
                <a:gd name="connsiteY15" fmla="*/ 1143006 h 1143006"/>
                <a:gd name="connsiteX16" fmla="*/ 254345 w 1143006"/>
                <a:gd name="connsiteY16" fmla="*/ 860706 h 1143006"/>
                <a:gd name="connsiteX17" fmla="*/ 0 w 1143006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065612 w 1184678"/>
                <a:gd name="connsiteY11" fmla="*/ 898922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571503 w 1184678"/>
                <a:gd name="connsiteY14" fmla="*/ 1017370 h 1143006"/>
                <a:gd name="connsiteX15" fmla="*/ 317163 w 1184678"/>
                <a:gd name="connsiteY15" fmla="*/ 1143006 h 1143006"/>
                <a:gd name="connsiteX16" fmla="*/ 254345 w 1184678"/>
                <a:gd name="connsiteY16" fmla="*/ 860706 h 1143006"/>
                <a:gd name="connsiteX17" fmla="*/ 0 w 1184678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119190 w 1184678"/>
                <a:gd name="connsiteY11" fmla="*/ 857250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571503 w 1184678"/>
                <a:gd name="connsiteY14" fmla="*/ 1017370 h 1143006"/>
                <a:gd name="connsiteX15" fmla="*/ 317163 w 1184678"/>
                <a:gd name="connsiteY15" fmla="*/ 1143006 h 1143006"/>
                <a:gd name="connsiteX16" fmla="*/ 254345 w 1184678"/>
                <a:gd name="connsiteY16" fmla="*/ 860706 h 1143006"/>
                <a:gd name="connsiteX17" fmla="*/ 0 w 1184678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119190 w 1184678"/>
                <a:gd name="connsiteY11" fmla="*/ 857250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696519 w 1184678"/>
                <a:gd name="connsiteY14" fmla="*/ 1083469 h 1143006"/>
                <a:gd name="connsiteX15" fmla="*/ 571503 w 1184678"/>
                <a:gd name="connsiteY15" fmla="*/ 1017370 h 1143006"/>
                <a:gd name="connsiteX16" fmla="*/ 317163 w 1184678"/>
                <a:gd name="connsiteY16" fmla="*/ 1143006 h 1143006"/>
                <a:gd name="connsiteX17" fmla="*/ 254345 w 1184678"/>
                <a:gd name="connsiteY17" fmla="*/ 860706 h 1143006"/>
                <a:gd name="connsiteX18" fmla="*/ 0 w 1184678"/>
                <a:gd name="connsiteY18" fmla="*/ 735071 h 1143006"/>
                <a:gd name="connsiteX0" fmla="*/ 0 w 1184678"/>
                <a:gd name="connsiteY0" fmla="*/ 735071 h 1166812"/>
                <a:gd name="connsiteX1" fmla="*/ 176012 w 1184678"/>
                <a:gd name="connsiteY1" fmla="*/ 508686 h 1166812"/>
                <a:gd name="connsiteX2" fmla="*/ 113195 w 1184678"/>
                <a:gd name="connsiteY2" fmla="*/ 226386 h 1166812"/>
                <a:gd name="connsiteX3" fmla="*/ 395495 w 1184678"/>
                <a:gd name="connsiteY3" fmla="*/ 226387 h 1166812"/>
                <a:gd name="connsiteX4" fmla="*/ 422676 w 1184678"/>
                <a:gd name="connsiteY4" fmla="*/ 11906 h 1166812"/>
                <a:gd name="connsiteX5" fmla="*/ 702472 w 1184678"/>
                <a:gd name="connsiteY5" fmla="*/ 0 h 1166812"/>
                <a:gd name="connsiteX6" fmla="*/ 747511 w 1184678"/>
                <a:gd name="connsiteY6" fmla="*/ 226387 h 1166812"/>
                <a:gd name="connsiteX7" fmla="*/ 958373 w 1184678"/>
                <a:gd name="connsiteY7" fmla="*/ 148995 h 1166812"/>
                <a:gd name="connsiteX8" fmla="*/ 1095378 w 1184678"/>
                <a:gd name="connsiteY8" fmla="*/ 357187 h 1166812"/>
                <a:gd name="connsiteX9" fmla="*/ 966994 w 1184678"/>
                <a:gd name="connsiteY9" fmla="*/ 508686 h 1166812"/>
                <a:gd name="connsiteX10" fmla="*/ 1184678 w 1184678"/>
                <a:gd name="connsiteY10" fmla="*/ 639821 h 1166812"/>
                <a:gd name="connsiteX11" fmla="*/ 1119190 w 1184678"/>
                <a:gd name="connsiteY11" fmla="*/ 857250 h 1166812"/>
                <a:gd name="connsiteX12" fmla="*/ 888661 w 1184678"/>
                <a:gd name="connsiteY12" fmla="*/ 860706 h 1166812"/>
                <a:gd name="connsiteX13" fmla="*/ 825843 w 1184678"/>
                <a:gd name="connsiteY13" fmla="*/ 1143006 h 1166812"/>
                <a:gd name="connsiteX14" fmla="*/ 738191 w 1184678"/>
                <a:gd name="connsiteY14" fmla="*/ 1166812 h 1166812"/>
                <a:gd name="connsiteX15" fmla="*/ 571503 w 1184678"/>
                <a:gd name="connsiteY15" fmla="*/ 1017370 h 1166812"/>
                <a:gd name="connsiteX16" fmla="*/ 317163 w 1184678"/>
                <a:gd name="connsiteY16" fmla="*/ 1143006 h 1166812"/>
                <a:gd name="connsiteX17" fmla="*/ 254345 w 1184678"/>
                <a:gd name="connsiteY17" fmla="*/ 860706 h 1166812"/>
                <a:gd name="connsiteX18" fmla="*/ 0 w 1184678"/>
                <a:gd name="connsiteY18" fmla="*/ 735071 h 1166812"/>
                <a:gd name="connsiteX0" fmla="*/ 0 w 1184678"/>
                <a:gd name="connsiteY0" fmla="*/ 735071 h 1166812"/>
                <a:gd name="connsiteX1" fmla="*/ 176012 w 1184678"/>
                <a:gd name="connsiteY1" fmla="*/ 508686 h 1166812"/>
                <a:gd name="connsiteX2" fmla="*/ 113195 w 1184678"/>
                <a:gd name="connsiteY2" fmla="*/ 226386 h 1166812"/>
                <a:gd name="connsiteX3" fmla="*/ 395495 w 1184678"/>
                <a:gd name="connsiteY3" fmla="*/ 226387 h 1166812"/>
                <a:gd name="connsiteX4" fmla="*/ 422676 w 1184678"/>
                <a:gd name="connsiteY4" fmla="*/ 11906 h 1166812"/>
                <a:gd name="connsiteX5" fmla="*/ 702472 w 1184678"/>
                <a:gd name="connsiteY5" fmla="*/ 0 h 1166812"/>
                <a:gd name="connsiteX6" fmla="*/ 747511 w 1184678"/>
                <a:gd name="connsiteY6" fmla="*/ 226387 h 1166812"/>
                <a:gd name="connsiteX7" fmla="*/ 958373 w 1184678"/>
                <a:gd name="connsiteY7" fmla="*/ 148995 h 1166812"/>
                <a:gd name="connsiteX8" fmla="*/ 1095378 w 1184678"/>
                <a:gd name="connsiteY8" fmla="*/ 357187 h 1166812"/>
                <a:gd name="connsiteX9" fmla="*/ 966994 w 1184678"/>
                <a:gd name="connsiteY9" fmla="*/ 508686 h 1166812"/>
                <a:gd name="connsiteX10" fmla="*/ 1184678 w 1184678"/>
                <a:gd name="connsiteY10" fmla="*/ 639821 h 1166812"/>
                <a:gd name="connsiteX11" fmla="*/ 1119190 w 1184678"/>
                <a:gd name="connsiteY11" fmla="*/ 857250 h 1166812"/>
                <a:gd name="connsiteX12" fmla="*/ 888661 w 1184678"/>
                <a:gd name="connsiteY12" fmla="*/ 860706 h 1166812"/>
                <a:gd name="connsiteX13" fmla="*/ 938953 w 1184678"/>
                <a:gd name="connsiteY13" fmla="*/ 1107287 h 1166812"/>
                <a:gd name="connsiteX14" fmla="*/ 738191 w 1184678"/>
                <a:gd name="connsiteY14" fmla="*/ 1166812 h 1166812"/>
                <a:gd name="connsiteX15" fmla="*/ 571503 w 1184678"/>
                <a:gd name="connsiteY15" fmla="*/ 1017370 h 1166812"/>
                <a:gd name="connsiteX16" fmla="*/ 317163 w 1184678"/>
                <a:gd name="connsiteY16" fmla="*/ 1143006 h 1166812"/>
                <a:gd name="connsiteX17" fmla="*/ 254345 w 1184678"/>
                <a:gd name="connsiteY17" fmla="*/ 860706 h 1166812"/>
                <a:gd name="connsiteX18" fmla="*/ 0 w 1184678"/>
                <a:gd name="connsiteY18" fmla="*/ 735071 h 116681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54345 w 1184678"/>
                <a:gd name="connsiteY17" fmla="*/ 860706 h 1184672"/>
                <a:gd name="connsiteX18" fmla="*/ 0 w 1184678"/>
                <a:gd name="connsiteY18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91706 w 1184678"/>
                <a:gd name="connsiteY17" fmla="*/ 982266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26222 w 1184678"/>
                <a:gd name="connsiteY17" fmla="*/ 1065609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442179 w 1184678"/>
                <a:gd name="connsiteY16" fmla="*/ 1160865 h 1184672"/>
                <a:gd name="connsiteX17" fmla="*/ 226222 w 1184678"/>
                <a:gd name="connsiteY17" fmla="*/ 1065609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54912"/>
                <a:gd name="connsiteY0" fmla="*/ 812461 h 1184672"/>
                <a:gd name="connsiteX1" fmla="*/ 146246 w 1154912"/>
                <a:gd name="connsiteY1" fmla="*/ 508686 h 1184672"/>
                <a:gd name="connsiteX2" fmla="*/ 83429 w 1154912"/>
                <a:gd name="connsiteY2" fmla="*/ 226386 h 1184672"/>
                <a:gd name="connsiteX3" fmla="*/ 365729 w 1154912"/>
                <a:gd name="connsiteY3" fmla="*/ 226387 h 1184672"/>
                <a:gd name="connsiteX4" fmla="*/ 392910 w 1154912"/>
                <a:gd name="connsiteY4" fmla="*/ 11906 h 1184672"/>
                <a:gd name="connsiteX5" fmla="*/ 672706 w 1154912"/>
                <a:gd name="connsiteY5" fmla="*/ 0 h 1184672"/>
                <a:gd name="connsiteX6" fmla="*/ 717745 w 1154912"/>
                <a:gd name="connsiteY6" fmla="*/ 226387 h 1184672"/>
                <a:gd name="connsiteX7" fmla="*/ 928607 w 1154912"/>
                <a:gd name="connsiteY7" fmla="*/ 148995 h 1184672"/>
                <a:gd name="connsiteX8" fmla="*/ 1065612 w 1154912"/>
                <a:gd name="connsiteY8" fmla="*/ 357187 h 1184672"/>
                <a:gd name="connsiteX9" fmla="*/ 937228 w 1154912"/>
                <a:gd name="connsiteY9" fmla="*/ 508686 h 1184672"/>
                <a:gd name="connsiteX10" fmla="*/ 1154912 w 1154912"/>
                <a:gd name="connsiteY10" fmla="*/ 639821 h 1184672"/>
                <a:gd name="connsiteX11" fmla="*/ 1089424 w 1154912"/>
                <a:gd name="connsiteY11" fmla="*/ 857250 h 1184672"/>
                <a:gd name="connsiteX12" fmla="*/ 858895 w 1154912"/>
                <a:gd name="connsiteY12" fmla="*/ 860706 h 1184672"/>
                <a:gd name="connsiteX13" fmla="*/ 909187 w 1154912"/>
                <a:gd name="connsiteY13" fmla="*/ 1107287 h 1184672"/>
                <a:gd name="connsiteX14" fmla="*/ 762003 w 1154912"/>
                <a:gd name="connsiteY14" fmla="*/ 1184672 h 1184672"/>
                <a:gd name="connsiteX15" fmla="*/ 541737 w 1154912"/>
                <a:gd name="connsiteY15" fmla="*/ 1017370 h 1184672"/>
                <a:gd name="connsiteX16" fmla="*/ 412413 w 1154912"/>
                <a:gd name="connsiteY16" fmla="*/ 1160865 h 1184672"/>
                <a:gd name="connsiteX17" fmla="*/ 196456 w 1154912"/>
                <a:gd name="connsiteY17" fmla="*/ 1065609 h 1184672"/>
                <a:gd name="connsiteX18" fmla="*/ 224579 w 1154912"/>
                <a:gd name="connsiteY18" fmla="*/ 860706 h 1184672"/>
                <a:gd name="connsiteX19" fmla="*/ 0 w 1154912"/>
                <a:gd name="connsiteY19" fmla="*/ 812461 h 1184672"/>
                <a:gd name="connsiteX0" fmla="*/ 0 w 1154912"/>
                <a:gd name="connsiteY0" fmla="*/ 812461 h 1184672"/>
                <a:gd name="connsiteX1" fmla="*/ 77393 w 1154912"/>
                <a:gd name="connsiteY1" fmla="*/ 631031 h 1184672"/>
                <a:gd name="connsiteX2" fmla="*/ 146246 w 1154912"/>
                <a:gd name="connsiteY2" fmla="*/ 508686 h 1184672"/>
                <a:gd name="connsiteX3" fmla="*/ 83429 w 1154912"/>
                <a:gd name="connsiteY3" fmla="*/ 226386 h 1184672"/>
                <a:gd name="connsiteX4" fmla="*/ 365729 w 1154912"/>
                <a:gd name="connsiteY4" fmla="*/ 226387 h 1184672"/>
                <a:gd name="connsiteX5" fmla="*/ 392910 w 1154912"/>
                <a:gd name="connsiteY5" fmla="*/ 11906 h 1184672"/>
                <a:gd name="connsiteX6" fmla="*/ 672706 w 1154912"/>
                <a:gd name="connsiteY6" fmla="*/ 0 h 1184672"/>
                <a:gd name="connsiteX7" fmla="*/ 717745 w 1154912"/>
                <a:gd name="connsiteY7" fmla="*/ 226387 h 1184672"/>
                <a:gd name="connsiteX8" fmla="*/ 928607 w 1154912"/>
                <a:gd name="connsiteY8" fmla="*/ 148995 h 1184672"/>
                <a:gd name="connsiteX9" fmla="*/ 1065612 w 1154912"/>
                <a:gd name="connsiteY9" fmla="*/ 357187 h 1184672"/>
                <a:gd name="connsiteX10" fmla="*/ 937228 w 1154912"/>
                <a:gd name="connsiteY10" fmla="*/ 508686 h 1184672"/>
                <a:gd name="connsiteX11" fmla="*/ 1154912 w 1154912"/>
                <a:gd name="connsiteY11" fmla="*/ 639821 h 1184672"/>
                <a:gd name="connsiteX12" fmla="*/ 1089424 w 1154912"/>
                <a:gd name="connsiteY12" fmla="*/ 857250 h 1184672"/>
                <a:gd name="connsiteX13" fmla="*/ 858895 w 1154912"/>
                <a:gd name="connsiteY13" fmla="*/ 860706 h 1184672"/>
                <a:gd name="connsiteX14" fmla="*/ 909187 w 1154912"/>
                <a:gd name="connsiteY14" fmla="*/ 1107287 h 1184672"/>
                <a:gd name="connsiteX15" fmla="*/ 762003 w 1154912"/>
                <a:gd name="connsiteY15" fmla="*/ 1184672 h 1184672"/>
                <a:gd name="connsiteX16" fmla="*/ 541737 w 1154912"/>
                <a:gd name="connsiteY16" fmla="*/ 1017370 h 1184672"/>
                <a:gd name="connsiteX17" fmla="*/ 412413 w 1154912"/>
                <a:gd name="connsiteY17" fmla="*/ 1160865 h 1184672"/>
                <a:gd name="connsiteX18" fmla="*/ 196456 w 1154912"/>
                <a:gd name="connsiteY18" fmla="*/ 1065609 h 1184672"/>
                <a:gd name="connsiteX19" fmla="*/ 224579 w 1154912"/>
                <a:gd name="connsiteY19" fmla="*/ 860706 h 1184672"/>
                <a:gd name="connsiteX20" fmla="*/ 0 w 1154912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131052 w 1202535"/>
                <a:gd name="connsiteY3" fmla="*/ 226386 h 1184672"/>
                <a:gd name="connsiteX4" fmla="*/ 413352 w 1202535"/>
                <a:gd name="connsiteY4" fmla="*/ 226387 h 1184672"/>
                <a:gd name="connsiteX5" fmla="*/ 440533 w 1202535"/>
                <a:gd name="connsiteY5" fmla="*/ 11906 h 1184672"/>
                <a:gd name="connsiteX6" fmla="*/ 720329 w 1202535"/>
                <a:gd name="connsiteY6" fmla="*/ 0 h 1184672"/>
                <a:gd name="connsiteX7" fmla="*/ 765368 w 1202535"/>
                <a:gd name="connsiteY7" fmla="*/ 226387 h 1184672"/>
                <a:gd name="connsiteX8" fmla="*/ 976230 w 1202535"/>
                <a:gd name="connsiteY8" fmla="*/ 148995 h 1184672"/>
                <a:gd name="connsiteX9" fmla="*/ 1113235 w 1202535"/>
                <a:gd name="connsiteY9" fmla="*/ 357187 h 1184672"/>
                <a:gd name="connsiteX10" fmla="*/ 984851 w 1202535"/>
                <a:gd name="connsiteY10" fmla="*/ 508686 h 1184672"/>
                <a:gd name="connsiteX11" fmla="*/ 1202535 w 1202535"/>
                <a:gd name="connsiteY11" fmla="*/ 639821 h 1184672"/>
                <a:gd name="connsiteX12" fmla="*/ 1137047 w 1202535"/>
                <a:gd name="connsiteY12" fmla="*/ 857250 h 1184672"/>
                <a:gd name="connsiteX13" fmla="*/ 906518 w 1202535"/>
                <a:gd name="connsiteY13" fmla="*/ 860706 h 1184672"/>
                <a:gd name="connsiteX14" fmla="*/ 956810 w 1202535"/>
                <a:gd name="connsiteY14" fmla="*/ 1107287 h 1184672"/>
                <a:gd name="connsiteX15" fmla="*/ 809626 w 1202535"/>
                <a:gd name="connsiteY15" fmla="*/ 1184672 h 1184672"/>
                <a:gd name="connsiteX16" fmla="*/ 589360 w 1202535"/>
                <a:gd name="connsiteY16" fmla="*/ 1017370 h 1184672"/>
                <a:gd name="connsiteX17" fmla="*/ 460036 w 1202535"/>
                <a:gd name="connsiteY17" fmla="*/ 1160865 h 1184672"/>
                <a:gd name="connsiteX18" fmla="*/ 244079 w 1202535"/>
                <a:gd name="connsiteY18" fmla="*/ 1065609 h 1184672"/>
                <a:gd name="connsiteX19" fmla="*/ 272202 w 1202535"/>
                <a:gd name="connsiteY19" fmla="*/ 860706 h 1184672"/>
                <a:gd name="connsiteX20" fmla="*/ 47623 w 1202535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413352 w 1202535"/>
                <a:gd name="connsiteY4" fmla="*/ 226387 h 1184672"/>
                <a:gd name="connsiteX5" fmla="*/ 440533 w 1202535"/>
                <a:gd name="connsiteY5" fmla="*/ 11906 h 1184672"/>
                <a:gd name="connsiteX6" fmla="*/ 720329 w 1202535"/>
                <a:gd name="connsiteY6" fmla="*/ 0 h 1184672"/>
                <a:gd name="connsiteX7" fmla="*/ 765368 w 1202535"/>
                <a:gd name="connsiteY7" fmla="*/ 226387 h 1184672"/>
                <a:gd name="connsiteX8" fmla="*/ 976230 w 1202535"/>
                <a:gd name="connsiteY8" fmla="*/ 148995 h 1184672"/>
                <a:gd name="connsiteX9" fmla="*/ 1113235 w 1202535"/>
                <a:gd name="connsiteY9" fmla="*/ 357187 h 1184672"/>
                <a:gd name="connsiteX10" fmla="*/ 984851 w 1202535"/>
                <a:gd name="connsiteY10" fmla="*/ 508686 h 1184672"/>
                <a:gd name="connsiteX11" fmla="*/ 1202535 w 1202535"/>
                <a:gd name="connsiteY11" fmla="*/ 639821 h 1184672"/>
                <a:gd name="connsiteX12" fmla="*/ 1137047 w 1202535"/>
                <a:gd name="connsiteY12" fmla="*/ 857250 h 1184672"/>
                <a:gd name="connsiteX13" fmla="*/ 906518 w 1202535"/>
                <a:gd name="connsiteY13" fmla="*/ 860706 h 1184672"/>
                <a:gd name="connsiteX14" fmla="*/ 956810 w 1202535"/>
                <a:gd name="connsiteY14" fmla="*/ 1107287 h 1184672"/>
                <a:gd name="connsiteX15" fmla="*/ 809626 w 1202535"/>
                <a:gd name="connsiteY15" fmla="*/ 1184672 h 1184672"/>
                <a:gd name="connsiteX16" fmla="*/ 589360 w 1202535"/>
                <a:gd name="connsiteY16" fmla="*/ 1017370 h 1184672"/>
                <a:gd name="connsiteX17" fmla="*/ 460036 w 1202535"/>
                <a:gd name="connsiteY17" fmla="*/ 1160865 h 1184672"/>
                <a:gd name="connsiteX18" fmla="*/ 244079 w 1202535"/>
                <a:gd name="connsiteY18" fmla="*/ 1065609 h 1184672"/>
                <a:gd name="connsiteX19" fmla="*/ 272202 w 1202535"/>
                <a:gd name="connsiteY19" fmla="*/ 860706 h 1184672"/>
                <a:gd name="connsiteX20" fmla="*/ 47623 w 1202535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285752 w 1202535"/>
                <a:gd name="connsiteY4" fmla="*/ 232172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23896 w 1202535"/>
                <a:gd name="connsiteY3" fmla="*/ 268057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36273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23896 w 1202535"/>
                <a:gd name="connsiteY3" fmla="*/ 268057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36273 h 1184672"/>
                <a:gd name="connsiteX0" fmla="*/ 83342 w 1238254"/>
                <a:gd name="connsiteY0" fmla="*/ 836273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79798 w 1238254"/>
                <a:gd name="connsiteY19" fmla="*/ 1065609 h 1184672"/>
                <a:gd name="connsiteX20" fmla="*/ 307921 w 1238254"/>
                <a:gd name="connsiteY20" fmla="*/ 860706 h 1184672"/>
                <a:gd name="connsiteX21" fmla="*/ 83342 w 1238254"/>
                <a:gd name="connsiteY21" fmla="*/ 836273 h 1184672"/>
                <a:gd name="connsiteX0" fmla="*/ 59530 w 1238254"/>
                <a:gd name="connsiteY0" fmla="*/ 860086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79798 w 1238254"/>
                <a:gd name="connsiteY19" fmla="*/ 1065609 h 1184672"/>
                <a:gd name="connsiteX20" fmla="*/ 307921 w 1238254"/>
                <a:gd name="connsiteY20" fmla="*/ 860706 h 1184672"/>
                <a:gd name="connsiteX21" fmla="*/ 59530 w 1238254"/>
                <a:gd name="connsiteY21" fmla="*/ 860086 h 1184672"/>
                <a:gd name="connsiteX0" fmla="*/ 59530 w 1238254"/>
                <a:gd name="connsiteY0" fmla="*/ 860086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67891 w 1238254"/>
                <a:gd name="connsiteY19" fmla="*/ 1101328 h 1184672"/>
                <a:gd name="connsiteX20" fmla="*/ 307921 w 1238254"/>
                <a:gd name="connsiteY20" fmla="*/ 860706 h 1184672"/>
                <a:gd name="connsiteX21" fmla="*/ 59530 w 1238254"/>
                <a:gd name="connsiteY21" fmla="*/ 860086 h 1184672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59615 w 1238254"/>
                <a:gd name="connsiteY3" fmla="*/ 268057 h 1184678"/>
                <a:gd name="connsiteX4" fmla="*/ 208361 w 1238254"/>
                <a:gd name="connsiteY4" fmla="*/ 89297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59615 w 1238254"/>
                <a:gd name="connsiteY3" fmla="*/ 268057 h 1184678"/>
                <a:gd name="connsiteX4" fmla="*/ 172643 w 1238254"/>
                <a:gd name="connsiteY4" fmla="*/ 35719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11990 w 1238254"/>
                <a:gd name="connsiteY3" fmla="*/ 208526 h 1184678"/>
                <a:gd name="connsiteX4" fmla="*/ 172643 w 1238254"/>
                <a:gd name="connsiteY4" fmla="*/ 35719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166687 w 1345411"/>
                <a:gd name="connsiteY0" fmla="*/ 860086 h 1184678"/>
                <a:gd name="connsiteX1" fmla="*/ 0 w 1345411"/>
                <a:gd name="connsiteY1" fmla="*/ 636984 h 1184678"/>
                <a:gd name="connsiteX2" fmla="*/ 336745 w 1345411"/>
                <a:gd name="connsiteY2" fmla="*/ 508686 h 1184678"/>
                <a:gd name="connsiteX3" fmla="*/ 119147 w 1345411"/>
                <a:gd name="connsiteY3" fmla="*/ 208526 h 1184678"/>
                <a:gd name="connsiteX4" fmla="*/ 279800 w 1345411"/>
                <a:gd name="connsiteY4" fmla="*/ 35719 h 1184678"/>
                <a:gd name="connsiteX5" fmla="*/ 556228 w 1345411"/>
                <a:gd name="connsiteY5" fmla="*/ 226387 h 1184678"/>
                <a:gd name="connsiteX6" fmla="*/ 583409 w 1345411"/>
                <a:gd name="connsiteY6" fmla="*/ 11906 h 1184678"/>
                <a:gd name="connsiteX7" fmla="*/ 863205 w 1345411"/>
                <a:gd name="connsiteY7" fmla="*/ 0 h 1184678"/>
                <a:gd name="connsiteX8" fmla="*/ 908244 w 1345411"/>
                <a:gd name="connsiteY8" fmla="*/ 226387 h 1184678"/>
                <a:gd name="connsiteX9" fmla="*/ 1119106 w 1345411"/>
                <a:gd name="connsiteY9" fmla="*/ 148995 h 1184678"/>
                <a:gd name="connsiteX10" fmla="*/ 1256111 w 1345411"/>
                <a:gd name="connsiteY10" fmla="*/ 357187 h 1184678"/>
                <a:gd name="connsiteX11" fmla="*/ 1127727 w 1345411"/>
                <a:gd name="connsiteY11" fmla="*/ 508686 h 1184678"/>
                <a:gd name="connsiteX12" fmla="*/ 1345411 w 1345411"/>
                <a:gd name="connsiteY12" fmla="*/ 639821 h 1184678"/>
                <a:gd name="connsiteX13" fmla="*/ 1279923 w 1345411"/>
                <a:gd name="connsiteY13" fmla="*/ 857250 h 1184678"/>
                <a:gd name="connsiteX14" fmla="*/ 1049394 w 1345411"/>
                <a:gd name="connsiteY14" fmla="*/ 860706 h 1184678"/>
                <a:gd name="connsiteX15" fmla="*/ 1099686 w 1345411"/>
                <a:gd name="connsiteY15" fmla="*/ 1107287 h 1184678"/>
                <a:gd name="connsiteX16" fmla="*/ 952502 w 1345411"/>
                <a:gd name="connsiteY16" fmla="*/ 1184672 h 1184678"/>
                <a:gd name="connsiteX17" fmla="*/ 732236 w 1345411"/>
                <a:gd name="connsiteY17" fmla="*/ 1017370 h 1184678"/>
                <a:gd name="connsiteX18" fmla="*/ 585053 w 1345411"/>
                <a:gd name="connsiteY18" fmla="*/ 1184678 h 1184678"/>
                <a:gd name="connsiteX19" fmla="*/ 375048 w 1345411"/>
                <a:gd name="connsiteY19" fmla="*/ 1101328 h 1184678"/>
                <a:gd name="connsiteX20" fmla="*/ 415078 w 1345411"/>
                <a:gd name="connsiteY20" fmla="*/ 860706 h 1184678"/>
                <a:gd name="connsiteX21" fmla="*/ 166687 w 1345411"/>
                <a:gd name="connsiteY21" fmla="*/ 860086 h 1184678"/>
                <a:gd name="connsiteX0" fmla="*/ 53578 w 1345411"/>
                <a:gd name="connsiteY0" fmla="*/ 925570 h 1184678"/>
                <a:gd name="connsiteX1" fmla="*/ 0 w 1345411"/>
                <a:gd name="connsiteY1" fmla="*/ 636984 h 1184678"/>
                <a:gd name="connsiteX2" fmla="*/ 336745 w 1345411"/>
                <a:gd name="connsiteY2" fmla="*/ 508686 h 1184678"/>
                <a:gd name="connsiteX3" fmla="*/ 119147 w 1345411"/>
                <a:gd name="connsiteY3" fmla="*/ 208526 h 1184678"/>
                <a:gd name="connsiteX4" fmla="*/ 279800 w 1345411"/>
                <a:gd name="connsiteY4" fmla="*/ 35719 h 1184678"/>
                <a:gd name="connsiteX5" fmla="*/ 556228 w 1345411"/>
                <a:gd name="connsiteY5" fmla="*/ 226387 h 1184678"/>
                <a:gd name="connsiteX6" fmla="*/ 583409 w 1345411"/>
                <a:gd name="connsiteY6" fmla="*/ 11906 h 1184678"/>
                <a:gd name="connsiteX7" fmla="*/ 863205 w 1345411"/>
                <a:gd name="connsiteY7" fmla="*/ 0 h 1184678"/>
                <a:gd name="connsiteX8" fmla="*/ 908244 w 1345411"/>
                <a:gd name="connsiteY8" fmla="*/ 226387 h 1184678"/>
                <a:gd name="connsiteX9" fmla="*/ 1119106 w 1345411"/>
                <a:gd name="connsiteY9" fmla="*/ 148995 h 1184678"/>
                <a:gd name="connsiteX10" fmla="*/ 1256111 w 1345411"/>
                <a:gd name="connsiteY10" fmla="*/ 357187 h 1184678"/>
                <a:gd name="connsiteX11" fmla="*/ 1127727 w 1345411"/>
                <a:gd name="connsiteY11" fmla="*/ 508686 h 1184678"/>
                <a:gd name="connsiteX12" fmla="*/ 1345411 w 1345411"/>
                <a:gd name="connsiteY12" fmla="*/ 639821 h 1184678"/>
                <a:gd name="connsiteX13" fmla="*/ 1279923 w 1345411"/>
                <a:gd name="connsiteY13" fmla="*/ 857250 h 1184678"/>
                <a:gd name="connsiteX14" fmla="*/ 1049394 w 1345411"/>
                <a:gd name="connsiteY14" fmla="*/ 860706 h 1184678"/>
                <a:gd name="connsiteX15" fmla="*/ 1099686 w 1345411"/>
                <a:gd name="connsiteY15" fmla="*/ 1107287 h 1184678"/>
                <a:gd name="connsiteX16" fmla="*/ 952502 w 1345411"/>
                <a:gd name="connsiteY16" fmla="*/ 1184672 h 1184678"/>
                <a:gd name="connsiteX17" fmla="*/ 732236 w 1345411"/>
                <a:gd name="connsiteY17" fmla="*/ 1017370 h 1184678"/>
                <a:gd name="connsiteX18" fmla="*/ 585053 w 1345411"/>
                <a:gd name="connsiteY18" fmla="*/ 1184678 h 1184678"/>
                <a:gd name="connsiteX19" fmla="*/ 375048 w 1345411"/>
                <a:gd name="connsiteY19" fmla="*/ 1101328 h 1184678"/>
                <a:gd name="connsiteX20" fmla="*/ 415078 w 1345411"/>
                <a:gd name="connsiteY20" fmla="*/ 860706 h 1184678"/>
                <a:gd name="connsiteX21" fmla="*/ 53578 w 1345411"/>
                <a:gd name="connsiteY21" fmla="*/ 925570 h 1184678"/>
                <a:gd name="connsiteX0" fmla="*/ 53578 w 1345411"/>
                <a:gd name="connsiteY0" fmla="*/ 925570 h 1196578"/>
                <a:gd name="connsiteX1" fmla="*/ 0 w 1345411"/>
                <a:gd name="connsiteY1" fmla="*/ 636984 h 1196578"/>
                <a:gd name="connsiteX2" fmla="*/ 336745 w 1345411"/>
                <a:gd name="connsiteY2" fmla="*/ 508686 h 1196578"/>
                <a:gd name="connsiteX3" fmla="*/ 119147 w 1345411"/>
                <a:gd name="connsiteY3" fmla="*/ 208526 h 1196578"/>
                <a:gd name="connsiteX4" fmla="*/ 279800 w 1345411"/>
                <a:gd name="connsiteY4" fmla="*/ 35719 h 1196578"/>
                <a:gd name="connsiteX5" fmla="*/ 556228 w 1345411"/>
                <a:gd name="connsiteY5" fmla="*/ 226387 h 1196578"/>
                <a:gd name="connsiteX6" fmla="*/ 583409 w 1345411"/>
                <a:gd name="connsiteY6" fmla="*/ 11906 h 1196578"/>
                <a:gd name="connsiteX7" fmla="*/ 863205 w 1345411"/>
                <a:gd name="connsiteY7" fmla="*/ 0 h 1196578"/>
                <a:gd name="connsiteX8" fmla="*/ 908244 w 1345411"/>
                <a:gd name="connsiteY8" fmla="*/ 226387 h 1196578"/>
                <a:gd name="connsiteX9" fmla="*/ 1119106 w 1345411"/>
                <a:gd name="connsiteY9" fmla="*/ 148995 h 1196578"/>
                <a:gd name="connsiteX10" fmla="*/ 1256111 w 1345411"/>
                <a:gd name="connsiteY10" fmla="*/ 357187 h 1196578"/>
                <a:gd name="connsiteX11" fmla="*/ 1127727 w 1345411"/>
                <a:gd name="connsiteY11" fmla="*/ 508686 h 1196578"/>
                <a:gd name="connsiteX12" fmla="*/ 1345411 w 1345411"/>
                <a:gd name="connsiteY12" fmla="*/ 639821 h 1196578"/>
                <a:gd name="connsiteX13" fmla="*/ 1279923 w 1345411"/>
                <a:gd name="connsiteY13" fmla="*/ 857250 h 1196578"/>
                <a:gd name="connsiteX14" fmla="*/ 1049394 w 1345411"/>
                <a:gd name="connsiteY14" fmla="*/ 860706 h 1196578"/>
                <a:gd name="connsiteX15" fmla="*/ 1099686 w 1345411"/>
                <a:gd name="connsiteY15" fmla="*/ 1107287 h 1196578"/>
                <a:gd name="connsiteX16" fmla="*/ 952502 w 1345411"/>
                <a:gd name="connsiteY16" fmla="*/ 1184672 h 1196578"/>
                <a:gd name="connsiteX17" fmla="*/ 732236 w 1345411"/>
                <a:gd name="connsiteY17" fmla="*/ 1017370 h 1196578"/>
                <a:gd name="connsiteX18" fmla="*/ 585053 w 1345411"/>
                <a:gd name="connsiteY18" fmla="*/ 1184678 h 1196578"/>
                <a:gd name="connsiteX19" fmla="*/ 238126 w 1345411"/>
                <a:gd name="connsiteY19" fmla="*/ 1196578 h 1196578"/>
                <a:gd name="connsiteX20" fmla="*/ 415078 w 1345411"/>
                <a:gd name="connsiteY20" fmla="*/ 860706 h 1196578"/>
                <a:gd name="connsiteX21" fmla="*/ 53578 w 1345411"/>
                <a:gd name="connsiteY21" fmla="*/ 925570 h 1196578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099686 w 1345411"/>
                <a:gd name="connsiteY15" fmla="*/ 1107287 h 1327553"/>
                <a:gd name="connsiteX16" fmla="*/ 952502 w 1345411"/>
                <a:gd name="connsiteY16" fmla="*/ 1184672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099686 w 1345411"/>
                <a:gd name="connsiteY15" fmla="*/ 1107287 h 1327553"/>
                <a:gd name="connsiteX16" fmla="*/ 970361 w 1345411"/>
                <a:gd name="connsiteY16" fmla="*/ 1315640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218748 w 1345411"/>
                <a:gd name="connsiteY15" fmla="*/ 1172771 h 1327553"/>
                <a:gd name="connsiteX16" fmla="*/ 970361 w 1345411"/>
                <a:gd name="connsiteY16" fmla="*/ 1315640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87079"/>
                <a:gd name="connsiteY0" fmla="*/ 925570 h 1327553"/>
                <a:gd name="connsiteX1" fmla="*/ 0 w 1387079"/>
                <a:gd name="connsiteY1" fmla="*/ 636984 h 1327553"/>
                <a:gd name="connsiteX2" fmla="*/ 336745 w 1387079"/>
                <a:gd name="connsiteY2" fmla="*/ 508686 h 1327553"/>
                <a:gd name="connsiteX3" fmla="*/ 119147 w 1387079"/>
                <a:gd name="connsiteY3" fmla="*/ 208526 h 1327553"/>
                <a:gd name="connsiteX4" fmla="*/ 279800 w 1387079"/>
                <a:gd name="connsiteY4" fmla="*/ 35719 h 1327553"/>
                <a:gd name="connsiteX5" fmla="*/ 556228 w 1387079"/>
                <a:gd name="connsiteY5" fmla="*/ 226387 h 1327553"/>
                <a:gd name="connsiteX6" fmla="*/ 583409 w 1387079"/>
                <a:gd name="connsiteY6" fmla="*/ 11906 h 1327553"/>
                <a:gd name="connsiteX7" fmla="*/ 863205 w 1387079"/>
                <a:gd name="connsiteY7" fmla="*/ 0 h 1327553"/>
                <a:gd name="connsiteX8" fmla="*/ 908244 w 1387079"/>
                <a:gd name="connsiteY8" fmla="*/ 226387 h 1327553"/>
                <a:gd name="connsiteX9" fmla="*/ 1119106 w 1387079"/>
                <a:gd name="connsiteY9" fmla="*/ 148995 h 1327553"/>
                <a:gd name="connsiteX10" fmla="*/ 1256111 w 1387079"/>
                <a:gd name="connsiteY10" fmla="*/ 357187 h 1327553"/>
                <a:gd name="connsiteX11" fmla="*/ 1127727 w 1387079"/>
                <a:gd name="connsiteY11" fmla="*/ 508686 h 1327553"/>
                <a:gd name="connsiteX12" fmla="*/ 1345411 w 1387079"/>
                <a:gd name="connsiteY12" fmla="*/ 639821 h 1327553"/>
                <a:gd name="connsiteX13" fmla="*/ 1387079 w 1387079"/>
                <a:gd name="connsiteY13" fmla="*/ 898922 h 1327553"/>
                <a:gd name="connsiteX14" fmla="*/ 1049394 w 1387079"/>
                <a:gd name="connsiteY14" fmla="*/ 860706 h 1327553"/>
                <a:gd name="connsiteX15" fmla="*/ 1218748 w 1387079"/>
                <a:gd name="connsiteY15" fmla="*/ 1172771 h 1327553"/>
                <a:gd name="connsiteX16" fmla="*/ 970361 w 1387079"/>
                <a:gd name="connsiteY16" fmla="*/ 1315640 h 1327553"/>
                <a:gd name="connsiteX17" fmla="*/ 732236 w 1387079"/>
                <a:gd name="connsiteY17" fmla="*/ 1017370 h 1327553"/>
                <a:gd name="connsiteX18" fmla="*/ 471944 w 1387079"/>
                <a:gd name="connsiteY18" fmla="*/ 1327553 h 1327553"/>
                <a:gd name="connsiteX19" fmla="*/ 238126 w 1387079"/>
                <a:gd name="connsiteY19" fmla="*/ 1196578 h 1327553"/>
                <a:gd name="connsiteX20" fmla="*/ 415078 w 1387079"/>
                <a:gd name="connsiteY20" fmla="*/ 860706 h 1327553"/>
                <a:gd name="connsiteX21" fmla="*/ 53578 w 1387079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19106 w 1458521"/>
                <a:gd name="connsiteY9" fmla="*/ 148995 h 1327553"/>
                <a:gd name="connsiteX10" fmla="*/ 1256111 w 1458521"/>
                <a:gd name="connsiteY10" fmla="*/ 357187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19106 w 1458521"/>
                <a:gd name="connsiteY9" fmla="*/ 148995 h 1327553"/>
                <a:gd name="connsiteX10" fmla="*/ 1357314 w 1458521"/>
                <a:gd name="connsiteY10" fmla="*/ 291703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78638 w 1458521"/>
                <a:gd name="connsiteY9" fmla="*/ 71604 h 1327553"/>
                <a:gd name="connsiteX10" fmla="*/ 1357314 w 1458521"/>
                <a:gd name="connsiteY10" fmla="*/ 291703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19147 w 1458521"/>
                <a:gd name="connsiteY3" fmla="*/ 303776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63205 w 1458521"/>
                <a:gd name="connsiteY7" fmla="*/ 95250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19147 w 1458521"/>
                <a:gd name="connsiteY3" fmla="*/ 303776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41740 w 1458521"/>
                <a:gd name="connsiteY6" fmla="*/ 89297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59600 w 1458521"/>
                <a:gd name="connsiteY6" fmla="*/ 244078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59600 w 1458521"/>
                <a:gd name="connsiteY6" fmla="*/ 244078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006084 w 1458521"/>
                <a:gd name="connsiteY10" fmla="*/ 261937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1006084 w 1458521"/>
                <a:gd name="connsiteY10" fmla="*/ 261937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238256 w 1458521"/>
                <a:gd name="connsiteY14" fmla="*/ 636984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471944 w 1458521"/>
                <a:gd name="connsiteY22" fmla="*/ 1422803 h 1422803"/>
                <a:gd name="connsiteX23" fmla="*/ 238126 w 1458521"/>
                <a:gd name="connsiteY23" fmla="*/ 1291828 h 1422803"/>
                <a:gd name="connsiteX24" fmla="*/ 415078 w 1458521"/>
                <a:gd name="connsiteY24" fmla="*/ 955956 h 1422803"/>
                <a:gd name="connsiteX25" fmla="*/ 53578 w 1458521"/>
                <a:gd name="connsiteY25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471944 w 1458521"/>
                <a:gd name="connsiteY22" fmla="*/ 1422803 h 1422803"/>
                <a:gd name="connsiteX23" fmla="*/ 238126 w 1458521"/>
                <a:gd name="connsiteY23" fmla="*/ 1291828 h 1422803"/>
                <a:gd name="connsiteX24" fmla="*/ 415078 w 1458521"/>
                <a:gd name="connsiteY24" fmla="*/ 955956 h 1422803"/>
                <a:gd name="connsiteX25" fmla="*/ 53578 w 1458521"/>
                <a:gd name="connsiteY25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53578 w 1458521"/>
                <a:gd name="connsiteY26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53578 w 1458521"/>
                <a:gd name="connsiteY26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327428 w 1458521"/>
                <a:gd name="connsiteY26" fmla="*/ 970359 h 1422803"/>
                <a:gd name="connsiteX27" fmla="*/ 53578 w 1458521"/>
                <a:gd name="connsiteY27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03172 w 1458521"/>
                <a:gd name="connsiteY25" fmla="*/ 1033347 h 1422803"/>
                <a:gd name="connsiteX26" fmla="*/ 327428 w 1458521"/>
                <a:gd name="connsiteY26" fmla="*/ 970359 h 1422803"/>
                <a:gd name="connsiteX27" fmla="*/ 53578 w 1458521"/>
                <a:gd name="connsiteY27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83412 w 1458521"/>
                <a:gd name="connsiteY7" fmla="*/ 250031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259354 w 1458521"/>
                <a:gd name="connsiteY2" fmla="*/ 633701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83412 w 1458521"/>
                <a:gd name="connsiteY7" fmla="*/ 250031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259354 w 1458521"/>
                <a:gd name="connsiteY2" fmla="*/ 633701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93438 w 1458521"/>
                <a:gd name="connsiteY7" fmla="*/ 270084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92971 w 1458521"/>
                <a:gd name="connsiteY9" fmla="*/ 31958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178638 w 1458521"/>
                <a:gd name="connsiteY12" fmla="*/ 186906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178638 w 1458521"/>
                <a:gd name="connsiteY12" fmla="*/ 186906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6319 w 1458521"/>
                <a:gd name="connsiteY14" fmla="*/ 580123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6319 w 1458521"/>
                <a:gd name="connsiteY14" fmla="*/ 580123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422171 w 1458521"/>
                <a:gd name="connsiteY17" fmla="*/ 1034277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78574"/>
                <a:gd name="connsiteY0" fmla="*/ 1040872 h 1442855"/>
                <a:gd name="connsiteX1" fmla="*/ 0 w 1478574"/>
                <a:gd name="connsiteY1" fmla="*/ 752286 h 1442855"/>
                <a:gd name="connsiteX2" fmla="*/ 259354 w 1478574"/>
                <a:gd name="connsiteY2" fmla="*/ 653753 h 1442855"/>
                <a:gd name="connsiteX3" fmla="*/ 279803 w 1478574"/>
                <a:gd name="connsiteY3" fmla="*/ 549880 h 1442855"/>
                <a:gd name="connsiteX4" fmla="*/ 101288 w 1478574"/>
                <a:gd name="connsiteY4" fmla="*/ 329781 h 1442855"/>
                <a:gd name="connsiteX5" fmla="*/ 279800 w 1478574"/>
                <a:gd name="connsiteY5" fmla="*/ 151021 h 1442855"/>
                <a:gd name="connsiteX6" fmla="*/ 502650 w 1478574"/>
                <a:gd name="connsiteY6" fmla="*/ 323829 h 1442855"/>
                <a:gd name="connsiteX7" fmla="*/ 593438 w 1478574"/>
                <a:gd name="connsiteY7" fmla="*/ 290136 h 1442855"/>
                <a:gd name="connsiteX8" fmla="*/ 615368 w 1478574"/>
                <a:gd name="connsiteY8" fmla="*/ 0 h 1442855"/>
                <a:gd name="connsiteX9" fmla="*/ 887957 w 1478574"/>
                <a:gd name="connsiteY9" fmla="*/ 11906 h 1442855"/>
                <a:gd name="connsiteX10" fmla="*/ 872525 w 1478574"/>
                <a:gd name="connsiteY10" fmla="*/ 305971 h 1442855"/>
                <a:gd name="connsiteX11" fmla="*/ 958459 w 1478574"/>
                <a:gd name="connsiteY11" fmla="*/ 329614 h 1442855"/>
                <a:gd name="connsiteX12" fmla="*/ 1218744 w 1478574"/>
                <a:gd name="connsiteY12" fmla="*/ 166854 h 1442855"/>
                <a:gd name="connsiteX13" fmla="*/ 1397419 w 1478574"/>
                <a:gd name="connsiteY13" fmla="*/ 381939 h 1442855"/>
                <a:gd name="connsiteX14" fmla="*/ 1186319 w 1478574"/>
                <a:gd name="connsiteY14" fmla="*/ 580123 h 1442855"/>
                <a:gd name="connsiteX15" fmla="*/ 1178725 w 1478574"/>
                <a:gd name="connsiteY15" fmla="*/ 686801 h 1442855"/>
                <a:gd name="connsiteX16" fmla="*/ 1478574 w 1478574"/>
                <a:gd name="connsiteY16" fmla="*/ 755123 h 1442855"/>
                <a:gd name="connsiteX17" fmla="*/ 1422171 w 1478574"/>
                <a:gd name="connsiteY17" fmla="*/ 1034277 h 1442855"/>
                <a:gd name="connsiteX18" fmla="*/ 1132738 w 1478574"/>
                <a:gd name="connsiteY18" fmla="*/ 970055 h 1442855"/>
                <a:gd name="connsiteX19" fmla="*/ 1083475 w 1478574"/>
                <a:gd name="connsiteY19" fmla="*/ 1043989 h 1442855"/>
                <a:gd name="connsiteX20" fmla="*/ 1218748 w 1478574"/>
                <a:gd name="connsiteY20" fmla="*/ 1288073 h 1442855"/>
                <a:gd name="connsiteX21" fmla="*/ 970361 w 1478574"/>
                <a:gd name="connsiteY21" fmla="*/ 1430942 h 1442855"/>
                <a:gd name="connsiteX22" fmla="*/ 767955 w 1478574"/>
                <a:gd name="connsiteY22" fmla="*/ 1192203 h 1442855"/>
                <a:gd name="connsiteX23" fmla="*/ 660803 w 1478574"/>
                <a:gd name="connsiteY23" fmla="*/ 1204724 h 1442855"/>
                <a:gd name="connsiteX24" fmla="*/ 471944 w 1478574"/>
                <a:gd name="connsiteY24" fmla="*/ 1442855 h 1442855"/>
                <a:gd name="connsiteX25" fmla="*/ 238126 w 1478574"/>
                <a:gd name="connsiteY25" fmla="*/ 1311880 h 1442855"/>
                <a:gd name="connsiteX26" fmla="*/ 403172 w 1478574"/>
                <a:gd name="connsiteY26" fmla="*/ 1053399 h 1442855"/>
                <a:gd name="connsiteX27" fmla="*/ 327428 w 1478574"/>
                <a:gd name="connsiteY27" fmla="*/ 990411 h 1442855"/>
                <a:gd name="connsiteX28" fmla="*/ 53578 w 1478574"/>
                <a:gd name="connsiteY28" fmla="*/ 1040872 h 1442855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18748 w 1478574"/>
                <a:gd name="connsiteY20" fmla="*/ 1288073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71944 w 1478574"/>
                <a:gd name="connsiteY24" fmla="*/ 1442855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71944 w 1478574"/>
                <a:gd name="connsiteY24" fmla="*/ 1442855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61917 w 1478574"/>
                <a:gd name="connsiteY24" fmla="*/ 1457894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38538 w 1478574"/>
                <a:gd name="connsiteY0" fmla="*/ 1045885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61917 w 1478574"/>
                <a:gd name="connsiteY24" fmla="*/ 1457894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38538 w 1478574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08061 w 1518680"/>
                <a:gd name="connsiteY22" fmla="*/ 1192203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43278 w 1518680"/>
                <a:gd name="connsiteY26" fmla="*/ 1053399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08061 w 1518680"/>
                <a:gd name="connsiteY22" fmla="*/ 1192203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13074 w 1518680"/>
                <a:gd name="connsiteY22" fmla="*/ 1212255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13074 w 1518680"/>
                <a:gd name="connsiteY22" fmla="*/ 1212255 h 1466034"/>
                <a:gd name="connsiteX23" fmla="*/ 715949 w 1518680"/>
                <a:gd name="connsiteY23" fmla="*/ 1199711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15949 w 1518680"/>
                <a:gd name="connsiteY23" fmla="*/ 1199711 h 1482960"/>
                <a:gd name="connsiteX24" fmla="*/ 552155 w 1518680"/>
                <a:gd name="connsiteY24" fmla="*/ 1482960 h 1482960"/>
                <a:gd name="connsiteX25" fmla="*/ 278232 w 1518680"/>
                <a:gd name="connsiteY25" fmla="*/ 1311880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278232 w 1518680"/>
                <a:gd name="connsiteY25" fmla="*/ 1311880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03528 w 1518680"/>
                <a:gd name="connsiteY19" fmla="*/ 1094121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03528 w 1518680"/>
                <a:gd name="connsiteY19" fmla="*/ 1094121 h 1482960"/>
                <a:gd name="connsiteX20" fmla="*/ 1188669 w 1518680"/>
                <a:gd name="connsiteY20" fmla="*/ 1358257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62277 w 1523693"/>
                <a:gd name="connsiteY17" fmla="*/ 1034277 h 1482960"/>
                <a:gd name="connsiteX18" fmla="*/ 1172844 w 1523693"/>
                <a:gd name="connsiteY18" fmla="*/ 97005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72844 w 1523693"/>
                <a:gd name="connsiteY18" fmla="*/ 97005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22486 w 1523693"/>
                <a:gd name="connsiteY13" fmla="*/ 36689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73890 w 1523693"/>
                <a:gd name="connsiteY12" fmla="*/ 196933 h 1482960"/>
                <a:gd name="connsiteX13" fmla="*/ 1422486 w 1523693"/>
                <a:gd name="connsiteY13" fmla="*/ 36689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9018 h 1486093"/>
                <a:gd name="connsiteX1" fmla="*/ 0 w 1523693"/>
                <a:gd name="connsiteY1" fmla="*/ 765445 h 1486093"/>
                <a:gd name="connsiteX2" fmla="*/ 299460 w 1523693"/>
                <a:gd name="connsiteY2" fmla="*/ 656886 h 1486093"/>
                <a:gd name="connsiteX3" fmla="*/ 319909 w 1523693"/>
                <a:gd name="connsiteY3" fmla="*/ 553013 h 1486093"/>
                <a:gd name="connsiteX4" fmla="*/ 141394 w 1523693"/>
                <a:gd name="connsiteY4" fmla="*/ 332914 h 1486093"/>
                <a:gd name="connsiteX5" fmla="*/ 319906 w 1523693"/>
                <a:gd name="connsiteY5" fmla="*/ 154154 h 1486093"/>
                <a:gd name="connsiteX6" fmla="*/ 542756 w 1523693"/>
                <a:gd name="connsiteY6" fmla="*/ 326962 h 1486093"/>
                <a:gd name="connsiteX7" fmla="*/ 633544 w 1523693"/>
                <a:gd name="connsiteY7" fmla="*/ 293269 h 1486093"/>
                <a:gd name="connsiteX8" fmla="*/ 655474 w 1523693"/>
                <a:gd name="connsiteY8" fmla="*/ 3133 h 1486093"/>
                <a:gd name="connsiteX9" fmla="*/ 877931 w 1523693"/>
                <a:gd name="connsiteY9" fmla="*/ 0 h 1486093"/>
                <a:gd name="connsiteX10" fmla="*/ 912631 w 1523693"/>
                <a:gd name="connsiteY10" fmla="*/ 309104 h 1486093"/>
                <a:gd name="connsiteX11" fmla="*/ 998565 w 1523693"/>
                <a:gd name="connsiteY11" fmla="*/ 332747 h 1486093"/>
                <a:gd name="connsiteX12" fmla="*/ 1273890 w 1523693"/>
                <a:gd name="connsiteY12" fmla="*/ 200066 h 1486093"/>
                <a:gd name="connsiteX13" fmla="*/ 1422486 w 1523693"/>
                <a:gd name="connsiteY13" fmla="*/ 370032 h 1486093"/>
                <a:gd name="connsiteX14" fmla="*/ 1226425 w 1523693"/>
                <a:gd name="connsiteY14" fmla="*/ 583256 h 1486093"/>
                <a:gd name="connsiteX15" fmla="*/ 1218831 w 1523693"/>
                <a:gd name="connsiteY15" fmla="*/ 689934 h 1486093"/>
                <a:gd name="connsiteX16" fmla="*/ 1523693 w 1523693"/>
                <a:gd name="connsiteY16" fmla="*/ 818414 h 1486093"/>
                <a:gd name="connsiteX17" fmla="*/ 1482330 w 1523693"/>
                <a:gd name="connsiteY17" fmla="*/ 1002318 h 1486093"/>
                <a:gd name="connsiteX18" fmla="*/ 1162818 w 1523693"/>
                <a:gd name="connsiteY18" fmla="*/ 988228 h 1486093"/>
                <a:gd name="connsiteX19" fmla="*/ 1103528 w 1523693"/>
                <a:gd name="connsiteY19" fmla="*/ 1097254 h 1486093"/>
                <a:gd name="connsiteX20" fmla="*/ 1188669 w 1523693"/>
                <a:gd name="connsiteY20" fmla="*/ 1361390 h 1486093"/>
                <a:gd name="connsiteX21" fmla="*/ 1020493 w 1523693"/>
                <a:gd name="connsiteY21" fmla="*/ 1469167 h 1486093"/>
                <a:gd name="connsiteX22" fmla="*/ 803048 w 1523693"/>
                <a:gd name="connsiteY22" fmla="*/ 1220401 h 1486093"/>
                <a:gd name="connsiteX23" fmla="*/ 730989 w 1523693"/>
                <a:gd name="connsiteY23" fmla="*/ 1222897 h 1486093"/>
                <a:gd name="connsiteX24" fmla="*/ 552155 w 1523693"/>
                <a:gd name="connsiteY24" fmla="*/ 1486093 h 1486093"/>
                <a:gd name="connsiteX25" fmla="*/ 323350 w 1523693"/>
                <a:gd name="connsiteY25" fmla="*/ 1355118 h 1486093"/>
                <a:gd name="connsiteX26" fmla="*/ 418212 w 1523693"/>
                <a:gd name="connsiteY26" fmla="*/ 1071571 h 1486093"/>
                <a:gd name="connsiteX27" fmla="*/ 367534 w 1523693"/>
                <a:gd name="connsiteY27" fmla="*/ 993544 h 1486093"/>
                <a:gd name="connsiteX28" fmla="*/ 78644 w 1523693"/>
                <a:gd name="connsiteY28" fmla="*/ 1049018 h 1486093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319906 w 1523693"/>
                <a:gd name="connsiteY5" fmla="*/ 161048 h 1492987"/>
                <a:gd name="connsiteX6" fmla="*/ 542756 w 1523693"/>
                <a:gd name="connsiteY6" fmla="*/ 333856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279801 w 1523693"/>
                <a:gd name="connsiteY5" fmla="*/ 166061 h 1492987"/>
                <a:gd name="connsiteX6" fmla="*/ 542756 w 1523693"/>
                <a:gd name="connsiteY6" fmla="*/ 333856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26355 w 1523693"/>
                <a:gd name="connsiteY4" fmla="*/ 344821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79407 w 1523693"/>
                <a:gd name="connsiteY2" fmla="*/ 688846 h 1492987"/>
                <a:gd name="connsiteX3" fmla="*/ 319909 w 1523693"/>
                <a:gd name="connsiteY3" fmla="*/ 559907 h 1492987"/>
                <a:gd name="connsiteX4" fmla="*/ 126355 w 1523693"/>
                <a:gd name="connsiteY4" fmla="*/ 344821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3631 w 1518680"/>
                <a:gd name="connsiteY0" fmla="*/ 1055912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73631 w 1518680"/>
                <a:gd name="connsiteY28" fmla="*/ 1055912 h 1492987"/>
                <a:gd name="connsiteX0" fmla="*/ 43552 w 1518680"/>
                <a:gd name="connsiteY0" fmla="*/ 1045885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45885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69933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295150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47142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7534 w 1518680"/>
                <a:gd name="connsiteY27" fmla="*/ 1020491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11316 w 1518680"/>
                <a:gd name="connsiteY4" fmla="*/ 364874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7534 w 1518680"/>
                <a:gd name="connsiteY27" fmla="*/ 1020491 h 1492987"/>
                <a:gd name="connsiteX28" fmla="*/ 43552 w 1518680"/>
                <a:gd name="connsiteY28" fmla="*/ 1030846 h 14929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</a:cxnLst>
              <a:rect l="l" t="t" r="r" b="b"/>
              <a:pathLst>
                <a:path w="1518680" h="1492987">
                  <a:moveTo>
                    <a:pt x="43552" y="1030846"/>
                  </a:moveTo>
                  <a:lnTo>
                    <a:pt x="0" y="802418"/>
                  </a:lnTo>
                  <a:lnTo>
                    <a:pt x="274394" y="688846"/>
                  </a:lnTo>
                  <a:lnTo>
                    <a:pt x="299857" y="594999"/>
                  </a:lnTo>
                  <a:lnTo>
                    <a:pt x="111316" y="364874"/>
                  </a:lnTo>
                  <a:lnTo>
                    <a:pt x="244709" y="191127"/>
                  </a:lnTo>
                  <a:lnTo>
                    <a:pt x="517691" y="343883"/>
                  </a:lnTo>
                  <a:lnTo>
                    <a:pt x="608478" y="300163"/>
                  </a:lnTo>
                  <a:lnTo>
                    <a:pt x="675527" y="0"/>
                  </a:lnTo>
                  <a:lnTo>
                    <a:pt x="872918" y="6894"/>
                  </a:lnTo>
                  <a:lnTo>
                    <a:pt x="917644" y="305972"/>
                  </a:lnTo>
                  <a:lnTo>
                    <a:pt x="1013604" y="349667"/>
                  </a:lnTo>
                  <a:lnTo>
                    <a:pt x="1268877" y="206960"/>
                  </a:lnTo>
                  <a:lnTo>
                    <a:pt x="1417473" y="376926"/>
                  </a:lnTo>
                  <a:lnTo>
                    <a:pt x="1221412" y="590150"/>
                  </a:lnTo>
                  <a:lnTo>
                    <a:pt x="1213818" y="696828"/>
                  </a:lnTo>
                  <a:lnTo>
                    <a:pt x="1518680" y="825308"/>
                  </a:lnTo>
                  <a:lnTo>
                    <a:pt x="1477317" y="1009212"/>
                  </a:lnTo>
                  <a:lnTo>
                    <a:pt x="1167831" y="995122"/>
                  </a:lnTo>
                  <a:lnTo>
                    <a:pt x="1098515" y="1094122"/>
                  </a:lnTo>
                  <a:lnTo>
                    <a:pt x="1168616" y="1388336"/>
                  </a:lnTo>
                  <a:lnTo>
                    <a:pt x="1015480" y="1476061"/>
                  </a:lnTo>
                  <a:lnTo>
                    <a:pt x="798035" y="1227295"/>
                  </a:lnTo>
                  <a:lnTo>
                    <a:pt x="746029" y="1229791"/>
                  </a:lnTo>
                  <a:lnTo>
                    <a:pt x="532103" y="1492987"/>
                  </a:lnTo>
                  <a:lnTo>
                    <a:pt x="353429" y="1377051"/>
                  </a:lnTo>
                  <a:lnTo>
                    <a:pt x="413199" y="1078465"/>
                  </a:lnTo>
                  <a:lnTo>
                    <a:pt x="367534" y="1020491"/>
                  </a:lnTo>
                  <a:lnTo>
                    <a:pt x="43552" y="1030846"/>
                  </a:lnTo>
                  <a:close/>
                </a:path>
              </a:pathLst>
            </a:custGeom>
            <a:solidFill>
              <a:schemeClr val="bg2">
                <a:lumMod val="25000"/>
              </a:schemeClr>
            </a:solidFill>
            <a:ln>
              <a:solidFill>
                <a:schemeClr val="bg1"/>
              </a:solidFill>
            </a:ln>
            <a:effectLst>
              <a:innerShdw dist="63500" dir="14400000">
                <a:prstClr val="black">
                  <a:alpha val="51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912" name="prefb_title#block" descr="objects[obj_name]=new PIXI.BitmapText(['Настройки','Pref'][LANG], {fontName: 'mfont',fontSize: $font_size,align: 'center'});&#10;objects[obj_name].anchor.set(0.5,0);&#10;objects[obj_name].x=$x;&#10;objects[obj_name].y=$y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3B387282-71D1-41FC-91EE-A91964BB5591}"/>
              </a:ext>
            </a:extLst>
          </xdr:cNvPr>
          <xdr:cNvSpPr/>
        </xdr:nvSpPr>
        <xdr:spPr>
          <a:xfrm>
            <a:off x="3905250" y="5200650"/>
            <a:ext cx="1333500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6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Играть</a:t>
            </a:r>
          </a:p>
        </xdr:txBody>
      </xdr:sp>
      <xdr:sp macro="" textlink="">
        <xdr:nvSpPr>
          <xdr:cNvPr id="913" name="rb_title#block" descr="objects[obj_name]=new PIXI.BitmapText(['Правила','Rules'][LANG], {fontName: 'mfont',fontSize: $font_size,align: 'center'});&#10;objects[obj_name].anchor.set(0.5,0);&#10;objects[obj_name].x=$x;&#10;objects[obj_name].y=$y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0FE1AC8F-BB44-43FA-B075-609AF62D79BA}"/>
              </a:ext>
            </a:extLst>
          </xdr:cNvPr>
          <xdr:cNvSpPr/>
        </xdr:nvSpPr>
        <xdr:spPr>
          <a:xfrm>
            <a:off x="5429250" y="5238750"/>
            <a:ext cx="1333500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6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Играть</a:t>
            </a:r>
          </a:p>
        </xdr:txBody>
      </xdr:sp>
      <xdr:grpSp>
        <xdr:nvGrpSpPr>
          <xdr:cNvPr id="914" name="rb_bcg#spriteTOP" title="rb_bcg#sprite">
            <a:extLst>
              <a:ext uri="{FF2B5EF4-FFF2-40B4-BE49-F238E27FC236}">
                <a16:creationId xmlns:a16="http://schemas.microsoft.com/office/drawing/2014/main" id="{A652C303-3CF8-4EB3-8008-E3192ED4DAFF}"/>
              </a:ext>
            </a:extLst>
          </xdr:cNvPr>
          <xdr:cNvGrpSpPr/>
        </xdr:nvGrpSpPr>
        <xdr:grpSpPr>
          <a:xfrm>
            <a:off x="5429245" y="3932963"/>
            <a:ext cx="1333496" cy="1809748"/>
            <a:chOff x="5429245" y="3932963"/>
            <a:chExt cx="1333496" cy="1809748"/>
          </a:xfrm>
        </xdr:grpSpPr>
        <xdr:sp macro="" textlink="">
          <xdr:nvSpPr>
            <xdr:cNvPr id="915" name="object">
              <a:extLst>
                <a:ext uri="{FF2B5EF4-FFF2-40B4-BE49-F238E27FC236}">
                  <a16:creationId xmlns:a16="http://schemas.microsoft.com/office/drawing/2014/main" id="{13C3086E-2B32-4017-97D0-4DFF837157C5}"/>
                </a:ext>
              </a:extLst>
            </xdr:cNvPr>
            <xdr:cNvSpPr/>
          </xdr:nvSpPr>
          <xdr:spPr>
            <a:xfrm>
              <a:off x="5619750" y="4219575"/>
              <a:ext cx="952500" cy="961160"/>
            </a:xfrm>
            <a:prstGeom prst="roundRect">
              <a:avLst/>
            </a:prstGeom>
            <a:solidFill>
              <a:schemeClr val="bg1">
                <a:lumMod val="50000"/>
              </a:schemeClr>
            </a:solidFill>
            <a:ln w="19050">
              <a:solidFill>
                <a:schemeClr val="bg1">
                  <a:lumMod val="85000"/>
                </a:schemeClr>
              </a:solidFill>
            </a:ln>
            <a:effectLst>
              <a:outerShdw dist="38100" dir="2700000" sx="102000" sy="102000" algn="tl" rotWithShape="0">
                <a:prstClr val="black">
                  <a:alpha val="7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916" name="rb_bcg#sprite" descr="objects[obj_name].x=$x;&#10;objects[obj_name].y=$y;&#10;objects[obj_name].width=$w;&#10;objects[obj_name].height=$h;&#10;objects[obj_name].buttonMode=true;&#10;objects[obj_name].interactive=true;&#10;objects[obj_name].pointerdown=function(){main_menu.rules_button_down()};&#10;objects[obj_name].base_tint=objects[obj_name].tint;&#10;objects[obj_name].pointerover=function(){this.tint=0xff55ff};&#10;objects[obj_name].pointerout=function(){this.tint=this.base_tint};##png#1.5" title="preferences_button#sprite">
              <a:extLst>
                <a:ext uri="{FF2B5EF4-FFF2-40B4-BE49-F238E27FC236}">
                  <a16:creationId xmlns:a16="http://schemas.microsoft.com/office/drawing/2014/main" id="{8A42307C-D7E0-4E11-B579-D39315019800}"/>
                </a:ext>
              </a:extLst>
            </xdr:cNvPr>
            <xdr:cNvSpPr/>
          </xdr:nvSpPr>
          <xdr:spPr>
            <a:xfrm>
              <a:off x="5429245" y="3932963"/>
              <a:ext cx="1333496" cy="1809748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917" name="Свиток: вертикальный 916">
              <a:extLst>
                <a:ext uri="{FF2B5EF4-FFF2-40B4-BE49-F238E27FC236}">
                  <a16:creationId xmlns:a16="http://schemas.microsoft.com/office/drawing/2014/main" id="{AF74EFD4-132D-4A13-B2E9-FC052914BFA5}"/>
                </a:ext>
              </a:extLst>
            </xdr:cNvPr>
            <xdr:cNvSpPr/>
          </xdr:nvSpPr>
          <xdr:spPr>
            <a:xfrm flipH="1">
              <a:off x="5829304" y="4495801"/>
              <a:ext cx="523874" cy="416993"/>
            </a:xfrm>
            <a:prstGeom prst="verticalScroll">
              <a:avLst>
                <a:gd name="adj" fmla="val 25000"/>
              </a:avLst>
            </a:prstGeom>
            <a:solidFill>
              <a:schemeClr val="bg2">
                <a:lumMod val="2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innerShdw blurRad="25400" dist="63500" dir="13500000">
                <a:prstClr val="black"/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9</xdr:col>
      <xdr:colOff>47625</xdr:colOff>
      <xdr:row>114</xdr:row>
      <xdr:rowOff>47625</xdr:rowOff>
    </xdr:from>
    <xdr:to>
      <xdr:col>25</xdr:col>
      <xdr:colOff>47625</xdr:colOff>
      <xdr:row>133</xdr:row>
      <xdr:rowOff>47625</xdr:rowOff>
    </xdr:to>
    <xdr:grpSp>
      <xdr:nvGrpSpPr>
        <xdr:cNvPr id="927" name="my_card_cont#contTOP">
          <a:extLst>
            <a:ext uri="{FF2B5EF4-FFF2-40B4-BE49-F238E27FC236}">
              <a16:creationId xmlns:a16="http://schemas.microsoft.com/office/drawing/2014/main" id="{7DC34FE3-ACBC-43BD-9DB3-DEC29965123C}"/>
            </a:ext>
          </a:extLst>
        </xdr:cNvPr>
        <xdr:cNvGrpSpPr/>
      </xdr:nvGrpSpPr>
      <xdr:grpSpPr>
        <a:xfrm>
          <a:off x="904875" y="10906125"/>
          <a:ext cx="1524000" cy="1809750"/>
          <a:chOff x="952500" y="5905500"/>
          <a:chExt cx="1524000" cy="1809750"/>
        </a:xfrm>
      </xdr:grpSpPr>
      <xdr:sp macro="" textlink="">
        <xdr:nvSpPr>
          <xdr:cNvPr id="928" name="my_avatar#block" descr="objects[obj_name]=new PIXI.Sprite();&#10;objects[obj_name].sx=objects[obj_name].x=$x;&#10;objects[obj_name].sy=objects[obj_name].y=$y;&#10;objects[obj_name].width=$w;&#10;objects[obj_name].height=$h;&#10;#objects[obj_name].mask = objects.my_avatar_mask;&#10;&#10;#png#1" title="my_card_avatar#block">
            <a:extLst>
              <a:ext uri="{FF2B5EF4-FFF2-40B4-BE49-F238E27FC236}">
                <a16:creationId xmlns:a16="http://schemas.microsoft.com/office/drawing/2014/main" id="{0C988ED9-B415-4EFC-A130-937011D9C307}"/>
              </a:ext>
            </a:extLst>
          </xdr:cNvPr>
          <xdr:cNvSpPr/>
        </xdr:nvSpPr>
        <xdr:spPr>
          <a:xfrm>
            <a:off x="1238250" y="6096000"/>
            <a:ext cx="952501" cy="9525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мои аватар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29" name="my_avatar_mask#block" descr="objects[obj_name]=new PIXI.Sprite();&#10;objects[obj_name].x=$x;&#10;objects[obj_name].y=$y;&#10;objects[obj_name].width=$w;&#10;objects[obj_name].height=$h;&#10;#objects[obj_name].texture = gres.avatar_mask.texture;#png#1" title="pc_icon#image">
            <a:extLst>
              <a:ext uri="{FF2B5EF4-FFF2-40B4-BE49-F238E27FC236}">
                <a16:creationId xmlns:a16="http://schemas.microsoft.com/office/drawing/2014/main" id="{4718679E-21DC-4C97-A5AE-EE5AA9366D96}"/>
              </a:ext>
            </a:extLst>
          </xdr:cNvPr>
          <xdr:cNvSpPr/>
        </xdr:nvSpPr>
        <xdr:spPr>
          <a:xfrm>
            <a:off x="1238251" y="609600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30" name="my_card_name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my_card_name#block">
            <a:extLst>
              <a:ext uri="{FF2B5EF4-FFF2-40B4-BE49-F238E27FC236}">
                <a16:creationId xmlns:a16="http://schemas.microsoft.com/office/drawing/2014/main" id="{A9B579D4-3D20-4E16-AD20-0EEA384538BE}"/>
              </a:ext>
            </a:extLst>
          </xdr:cNvPr>
          <xdr:cNvSpPr/>
        </xdr:nvSpPr>
        <xdr:spPr>
          <a:xfrm>
            <a:off x="1047749" y="7143750"/>
            <a:ext cx="13335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931" name="my_card_rating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my_card_rating#block">
            <a:extLst>
              <a:ext uri="{FF2B5EF4-FFF2-40B4-BE49-F238E27FC236}">
                <a16:creationId xmlns:a16="http://schemas.microsoft.com/office/drawing/2014/main" id="{D8705F41-9C67-401F-A3CA-9C310BA524D6}"/>
              </a:ext>
            </a:extLst>
          </xdr:cNvPr>
          <xdr:cNvSpPr/>
        </xdr:nvSpPr>
        <xdr:spPr>
          <a:xfrm>
            <a:off x="1047750" y="7334251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932" name="my_avatar_frame#block" descr="objects[obj_name]=new PIXI.Sprite();&#10;objects[obj_name].x=$x;&#10;objects[obj_name].y=$y;&#10;objects[obj_name].width=$w;&#10;objects[obj_name].height=$h;#objects[obj_name].texture = gres.avatar_frame.texture;#png#1" title="pc_icon#image">
            <a:extLst>
              <a:ext uri="{FF2B5EF4-FFF2-40B4-BE49-F238E27FC236}">
                <a16:creationId xmlns:a16="http://schemas.microsoft.com/office/drawing/2014/main" id="{0A92AA1E-D2A6-4404-9B33-FFFDE4BD25A0}"/>
              </a:ext>
            </a:extLst>
          </xdr:cNvPr>
          <xdr:cNvSpPr/>
        </xdr:nvSpPr>
        <xdr:spPr>
          <a:xfrm>
            <a:off x="1143001" y="600075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33" name="my_card_cont#cont" descr="objects[obj_name]=new PIXI.Container();&#10;objects[obj_name].visible=false;&#10;objects[obj_name].x=objects[obj_name].sx=$x;&#10;objects[obj_name].y=objects[obj_name].sy=$y;&#10;&#10;#objects[obj_name].addChild(objects.my_avatar);&#10;objects[obj_name].addChild(objects.my_avatar_mask);&#10;objects[obj_name].addChild(objects.my_avatar_frame);&#10;objects[obj_name].addChild(objects.my_card_name);&#10;objects[obj_name].addChild(objects.my_card_rating);&#10;app.stage.addChild(objects[obj_name]);#png" title="my_card_cont#cont">
            <a:extLst>
              <a:ext uri="{FF2B5EF4-FFF2-40B4-BE49-F238E27FC236}">
                <a16:creationId xmlns:a16="http://schemas.microsoft.com/office/drawing/2014/main" id="{3428DC2B-70C2-42FE-85BE-C42C8DAEE996}"/>
              </a:ext>
            </a:extLst>
          </xdr:cNvPr>
          <xdr:cNvSpPr/>
        </xdr:nvSpPr>
        <xdr:spPr>
          <a:xfrm>
            <a:off x="952500" y="5905500"/>
            <a:ext cx="1524000" cy="1809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70</xdr:col>
      <xdr:colOff>0</xdr:colOff>
      <xdr:row>114</xdr:row>
      <xdr:rowOff>0</xdr:rowOff>
    </xdr:from>
    <xdr:to>
      <xdr:col>86</xdr:col>
      <xdr:colOff>0</xdr:colOff>
      <xdr:row>133</xdr:row>
      <xdr:rowOff>47625</xdr:rowOff>
    </xdr:to>
    <xdr:grpSp>
      <xdr:nvGrpSpPr>
        <xdr:cNvPr id="934" name="opp_card_cont#contTOP">
          <a:extLst>
            <a:ext uri="{FF2B5EF4-FFF2-40B4-BE49-F238E27FC236}">
              <a16:creationId xmlns:a16="http://schemas.microsoft.com/office/drawing/2014/main" id="{8AF363A4-6210-4038-8C34-8D134DC639FC}"/>
            </a:ext>
          </a:extLst>
        </xdr:cNvPr>
        <xdr:cNvGrpSpPr/>
      </xdr:nvGrpSpPr>
      <xdr:grpSpPr>
        <a:xfrm>
          <a:off x="6667500" y="10858500"/>
          <a:ext cx="1524000" cy="1857375"/>
          <a:chOff x="6715125" y="5857875"/>
          <a:chExt cx="1524000" cy="1857375"/>
        </a:xfrm>
      </xdr:grpSpPr>
      <xdr:sp macro="" textlink="">
        <xdr:nvSpPr>
          <xdr:cNvPr id="935" name="opp_card_name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opp_card_name#block">
            <a:extLst>
              <a:ext uri="{FF2B5EF4-FFF2-40B4-BE49-F238E27FC236}">
                <a16:creationId xmlns:a16="http://schemas.microsoft.com/office/drawing/2014/main" id="{4B792E4B-F1E6-4775-B49D-8857BE98E0F9}"/>
              </a:ext>
            </a:extLst>
          </xdr:cNvPr>
          <xdr:cNvSpPr/>
        </xdr:nvSpPr>
        <xdr:spPr>
          <a:xfrm>
            <a:off x="6810374" y="7096126"/>
            <a:ext cx="13335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936" name="opp_card_rating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opp_card_rating#block">
            <a:extLst>
              <a:ext uri="{FF2B5EF4-FFF2-40B4-BE49-F238E27FC236}">
                <a16:creationId xmlns:a16="http://schemas.microsoft.com/office/drawing/2014/main" id="{886650AF-6D90-47D6-BFD4-6AEE8AC2D99F}"/>
              </a:ext>
            </a:extLst>
          </xdr:cNvPr>
          <xdr:cNvSpPr/>
        </xdr:nvSpPr>
        <xdr:spPr>
          <a:xfrm>
            <a:off x="6810376" y="7286626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937" name="opp_avatar#block" descr="objects[obj_name]=new PIXI.Sprite();&#10;objects[obj_name].sx=objects[obj_name].x=$x;&#10;objects[obj_name].sy=objects[obj_name].y=$y;&#10;objects[obj_name].width=$w;&#10;objects[obj_name].height=$h;&#10;#objects[obj_name].mask = objects.opp_avatar_mask;&#10;&#10;&#10;#png" title="opp_card_avatar#block">
            <a:extLst>
              <a:ext uri="{FF2B5EF4-FFF2-40B4-BE49-F238E27FC236}">
                <a16:creationId xmlns:a16="http://schemas.microsoft.com/office/drawing/2014/main" id="{238FF680-DEF6-4FEA-A75C-E1E077409B97}"/>
              </a:ext>
            </a:extLst>
          </xdr:cNvPr>
          <xdr:cNvSpPr/>
        </xdr:nvSpPr>
        <xdr:spPr>
          <a:xfrm>
            <a:off x="7000874" y="6048376"/>
            <a:ext cx="952501" cy="9525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38" name="opp_avatar_mask#block" descr="objects[obj_name]=new PIXI.Sprite();&#10;objects[obj_name].x=$x;&#10;objects[obj_name].y=$y;&#10;objects[obj_name].width=$w;&#10;objects[obj_name].height=$h;#objects[obj_name].texture = gres.avatar_mask.texture;#png#1" title="pc_icon#image">
            <a:extLst>
              <a:ext uri="{FF2B5EF4-FFF2-40B4-BE49-F238E27FC236}">
                <a16:creationId xmlns:a16="http://schemas.microsoft.com/office/drawing/2014/main" id="{CFA76967-6ED7-4C94-88BB-2B7284C25C73}"/>
              </a:ext>
            </a:extLst>
          </xdr:cNvPr>
          <xdr:cNvSpPr/>
        </xdr:nvSpPr>
        <xdr:spPr>
          <a:xfrm>
            <a:off x="7000874" y="6045655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39" name="opp_avatar_frame#block" descr="objects[obj_name]=new PIXI.Sprite();&#10;objects[obj_name].x=$x;&#10;objects[obj_name].y=$y;&#10;objects[obj_name].width=$w;&#10;objects[obj_name].height=$h;#objects[obj_name].texture = gres.avatar_frame.texture;#png#1" title="pc_icon#image">
            <a:extLst>
              <a:ext uri="{FF2B5EF4-FFF2-40B4-BE49-F238E27FC236}">
                <a16:creationId xmlns:a16="http://schemas.microsoft.com/office/drawing/2014/main" id="{D3ADA414-F292-48D1-921E-DED5E332DF0A}"/>
              </a:ext>
            </a:extLst>
          </xdr:cNvPr>
          <xdr:cNvSpPr/>
        </xdr:nvSpPr>
        <xdr:spPr>
          <a:xfrm>
            <a:off x="6905624" y="5953126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40" name="opp_card_cont#cont" descr="objects[obj_name]=new PIXI.Container();&#10;objects[obj_name].visible=false;&#10;objects[obj_name].x=objects[obj_name].sx=$x;&#10;objects[obj_name].y=objects[obj_name].sy=$y;&#10;&#10;#objects[obj_name].addChild(objects.opp_avatar);&#10;objects[obj_name].addChild(objects.opp_avatar_mask);&#10;objects[obj_name].addChild(objects.opp_avatar_frame);&#10;objects[obj_name].addChild(objects.opp_card_name);&#10;objects[obj_name].addChild(objects.opp_card_rating);&#10;app.stage.addChild(objects[obj_name]);#png" title="my_card_cont#cont">
            <a:extLst>
              <a:ext uri="{FF2B5EF4-FFF2-40B4-BE49-F238E27FC236}">
                <a16:creationId xmlns:a16="http://schemas.microsoft.com/office/drawing/2014/main" id="{69559832-6530-4E0E-86B4-4DCCA96D6FD2}"/>
              </a:ext>
            </a:extLst>
          </xdr:cNvPr>
          <xdr:cNvSpPr/>
        </xdr:nvSpPr>
        <xdr:spPr>
          <a:xfrm>
            <a:off x="6715125" y="5857875"/>
            <a:ext cx="1524000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126</xdr:col>
      <xdr:colOff>0</xdr:colOff>
      <xdr:row>138</xdr:row>
      <xdr:rowOff>0</xdr:rowOff>
    </xdr:from>
    <xdr:to>
      <xdr:col>151</xdr:col>
      <xdr:colOff>0</xdr:colOff>
      <xdr:row>152</xdr:row>
      <xdr:rowOff>19050</xdr:rowOff>
    </xdr:to>
    <xdr:grpSp>
      <xdr:nvGrpSpPr>
        <xdr:cNvPr id="941" name="giveup_dialog#contTOP">
          <a:extLst>
            <a:ext uri="{FF2B5EF4-FFF2-40B4-BE49-F238E27FC236}">
              <a16:creationId xmlns:a16="http://schemas.microsoft.com/office/drawing/2014/main" id="{61D391E3-7E66-429C-A2E0-18D8EDD9473C}"/>
            </a:ext>
          </a:extLst>
        </xdr:cNvPr>
        <xdr:cNvGrpSpPr/>
      </xdr:nvGrpSpPr>
      <xdr:grpSpPr>
        <a:xfrm>
          <a:off x="12001500" y="13144500"/>
          <a:ext cx="2381250" cy="1352550"/>
          <a:chOff x="12382500" y="8382000"/>
          <a:chExt cx="2857500" cy="1619250"/>
        </a:xfrm>
      </xdr:grpSpPr>
      <xdr:grpSp>
        <xdr:nvGrpSpPr>
          <xdr:cNvPr id="942" name="giveup_bcg#spriteTOP" title="giveup_bcg#sprite">
            <a:extLst>
              <a:ext uri="{FF2B5EF4-FFF2-40B4-BE49-F238E27FC236}">
                <a16:creationId xmlns:a16="http://schemas.microsoft.com/office/drawing/2014/main" id="{BF0084F9-5F4D-491A-9AA6-0777CE7590C8}"/>
              </a:ext>
            </a:extLst>
          </xdr:cNvPr>
          <xdr:cNvGrpSpPr/>
        </xdr:nvGrpSpPr>
        <xdr:grpSpPr>
          <a:xfrm>
            <a:off x="12477750" y="8477250"/>
            <a:ext cx="2667000" cy="1238250"/>
            <a:chOff x="6000750" y="1682750"/>
            <a:chExt cx="1905000" cy="2222500"/>
          </a:xfrm>
        </xdr:grpSpPr>
        <xdr:sp macro="" textlink="">
          <xdr:nvSpPr>
            <xdr:cNvPr id="951" name="object">
              <a:extLst>
                <a:ext uri="{FF2B5EF4-FFF2-40B4-BE49-F238E27FC236}">
                  <a16:creationId xmlns:a16="http://schemas.microsoft.com/office/drawing/2014/main" id="{DE158A94-FB1D-4BEF-99DF-F756605A29BC}"/>
                </a:ext>
              </a:extLst>
            </xdr:cNvPr>
            <xdr:cNvSpPr/>
          </xdr:nvSpPr>
          <xdr:spPr>
            <a:xfrm>
              <a:off x="6068786" y="1853712"/>
              <a:ext cx="1768929" cy="1880575"/>
            </a:xfrm>
            <a:prstGeom prst="roundRect">
              <a:avLst>
                <a:gd name="adj" fmla="val 8690"/>
              </a:avLst>
            </a:prstGeom>
            <a:solidFill>
              <a:srgbClr val="437170"/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67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28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Times New Roman" panose="02020603050405020304" pitchFamily="18" charset="0"/>
                <a:ea typeface="Yahfie" pitchFamily="2" charset="-128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952" name="giveup_bcg#sprite" descr="objects[obj_name].x=$x;&#10;objects[obj_name].y=$y;&#10;objects[obj_name].width=$w;&#10;objects[obj_name].height=$h;&#10;objects[obj_name].base_tint=objects[obj_name].tint;##png#1.5" title="giveup_bcg#sprite">
              <a:extLst>
                <a:ext uri="{FF2B5EF4-FFF2-40B4-BE49-F238E27FC236}">
                  <a16:creationId xmlns:a16="http://schemas.microsoft.com/office/drawing/2014/main" id="{3058F4BF-E53C-4BDC-A8E7-17888B454B03}"/>
                </a:ext>
              </a:extLst>
            </xdr:cNvPr>
            <xdr:cNvSpPr/>
          </xdr:nvSpPr>
          <xdr:spPr>
            <a:xfrm>
              <a:off x="6000750" y="1682750"/>
              <a:ext cx="1905000" cy="22225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75000"/>
                  <a:lumOff val="2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943" name="giveup_no#spriteTOP" title="giveup_no#sprite">
            <a:extLst>
              <a:ext uri="{FF2B5EF4-FFF2-40B4-BE49-F238E27FC236}">
                <a16:creationId xmlns:a16="http://schemas.microsoft.com/office/drawing/2014/main" id="{3F982142-3126-40FE-925E-AF0FD942CF81}"/>
              </a:ext>
            </a:extLst>
          </xdr:cNvPr>
          <xdr:cNvGrpSpPr/>
        </xdr:nvGrpSpPr>
        <xdr:grpSpPr>
          <a:xfrm>
            <a:off x="13811250" y="9048750"/>
            <a:ext cx="1143000" cy="571500"/>
            <a:chOff x="6000750" y="1682750"/>
            <a:chExt cx="1905000" cy="2667000"/>
          </a:xfrm>
        </xdr:grpSpPr>
        <xdr:sp macro="" textlink="">
          <xdr:nvSpPr>
            <xdr:cNvPr id="949" name="object">
              <a:extLst>
                <a:ext uri="{FF2B5EF4-FFF2-40B4-BE49-F238E27FC236}">
                  <a16:creationId xmlns:a16="http://schemas.microsoft.com/office/drawing/2014/main" id="{C662DE29-DFE4-4A44-8F31-A16E9FA9F31F}"/>
                </a:ext>
              </a:extLst>
            </xdr:cNvPr>
            <xdr:cNvSpPr/>
          </xdr:nvSpPr>
          <xdr:spPr>
            <a:xfrm>
              <a:off x="6159500" y="2127250"/>
              <a:ext cx="1587500" cy="1778000"/>
            </a:xfrm>
            <a:prstGeom prst="roundRect">
              <a:avLst>
                <a:gd name="adj" fmla="val 18690"/>
              </a:avLst>
            </a:prstGeom>
            <a:solidFill>
              <a:srgbClr val="4F8786"/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79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800" b="1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Times New Roman" panose="02020603050405020304" pitchFamily="18" charset="0"/>
                  <a:ea typeface="Yahfie" pitchFamily="2" charset="-128"/>
                  <a:cs typeface="Times New Roman" panose="02020603050405020304" pitchFamily="18" charset="0"/>
                  <a:sym typeface="Wingdings 2" panose="05020102010507070707" pitchFamily="18" charset="2"/>
                </a:rPr>
                <a:t></a:t>
              </a:r>
              <a:endParaRPr lang="ru-RU" sz="2800" b="1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Times New Roman" panose="02020603050405020304" pitchFamily="18" charset="0"/>
                <a:ea typeface="Yahfie" pitchFamily="2" charset="-128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950" name="giveup_no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giveup_menu.hide()};&#10;#objects[obj_name].pointerover=function(){this.tint=0xff9999};&#10;objects[obj_name].pointerout=function(){this.tint=this.base_tint};#png#2" title="giveup_no#sprite">
              <a:extLst>
                <a:ext uri="{FF2B5EF4-FFF2-40B4-BE49-F238E27FC236}">
                  <a16:creationId xmlns:a16="http://schemas.microsoft.com/office/drawing/2014/main" id="{EFB0CD37-4781-4B37-A8F4-848DCBBCADB2}"/>
                </a:ext>
              </a:extLst>
            </xdr:cNvPr>
            <xdr:cNvSpPr/>
          </xdr:nvSpPr>
          <xdr:spPr>
            <a:xfrm>
              <a:off x="6000750" y="1682750"/>
              <a:ext cx="1905000" cy="26670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944" name="giveup_dialog#cont" descr="objects[obj_name]=new PIXI.Container();&#10;objects[obj_name].visible=false;&#10;objects[obj_name].ready=true;&#10;objects[obj_name].sx=objects[obj_name].x=250;&#10;objects[obj_name].sy=objects[obj_name].y=270;&#10;objects[obj_name].show=function(){this.children.forEach(c=&gt;{c.alpha=1;c.tint=c.base_tint})};#objects[obj_name].addChild(objects.giveup_bcg);&#10;objects[obj_name].addChild(objects.giveup_title);&#10;objects[obj_name].addChild(objects.giveup_yes);&#10;objects[obj_name].addChild(objects.giveup_no);&#10;app.stage.addChild(objects[obj_name]);#png" title="giveup_dialog#cont">
            <a:extLst>
              <a:ext uri="{FF2B5EF4-FFF2-40B4-BE49-F238E27FC236}">
                <a16:creationId xmlns:a16="http://schemas.microsoft.com/office/drawing/2014/main" id="{54FC013A-7C31-4663-88E3-AABB5F6B342C}"/>
              </a:ext>
            </a:extLst>
          </xdr:cNvPr>
          <xdr:cNvSpPr/>
        </xdr:nvSpPr>
        <xdr:spPr>
          <a:xfrm>
            <a:off x="12382500" y="8382000"/>
            <a:ext cx="2857500" cy="161925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945" name="giveup_yes#spriteTOP" title="giveup_yes#sprite">
            <a:extLst>
              <a:ext uri="{FF2B5EF4-FFF2-40B4-BE49-F238E27FC236}">
                <a16:creationId xmlns:a16="http://schemas.microsoft.com/office/drawing/2014/main" id="{7A390C67-BCE7-4BE1-AE38-992683544F9D}"/>
              </a:ext>
            </a:extLst>
          </xdr:cNvPr>
          <xdr:cNvGrpSpPr/>
        </xdr:nvGrpSpPr>
        <xdr:grpSpPr>
          <a:xfrm>
            <a:off x="12668250" y="9048750"/>
            <a:ext cx="1143000" cy="571500"/>
            <a:chOff x="6000750" y="1682750"/>
            <a:chExt cx="1905000" cy="2667000"/>
          </a:xfrm>
        </xdr:grpSpPr>
        <xdr:sp macro="" textlink="">
          <xdr:nvSpPr>
            <xdr:cNvPr id="947" name="object">
              <a:extLst>
                <a:ext uri="{FF2B5EF4-FFF2-40B4-BE49-F238E27FC236}">
                  <a16:creationId xmlns:a16="http://schemas.microsoft.com/office/drawing/2014/main" id="{727D1B0C-B0F5-4C4D-A41A-4DC5BC7E0117}"/>
                </a:ext>
              </a:extLst>
            </xdr:cNvPr>
            <xdr:cNvSpPr/>
          </xdr:nvSpPr>
          <xdr:spPr>
            <a:xfrm>
              <a:off x="6159500" y="2127250"/>
              <a:ext cx="1587500" cy="1778000"/>
            </a:xfrm>
            <a:prstGeom prst="roundRect">
              <a:avLst>
                <a:gd name="adj" fmla="val 18690"/>
              </a:avLst>
            </a:prstGeom>
            <a:solidFill>
              <a:srgbClr val="4F8786"/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79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400" b="1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Times New Roman" panose="02020603050405020304" pitchFamily="18" charset="0"/>
                  <a:ea typeface="Yahfie" pitchFamily="2" charset="-128"/>
                  <a:cs typeface="Times New Roman" panose="02020603050405020304" pitchFamily="18" charset="0"/>
                  <a:sym typeface="Wingdings 2" panose="05020102010507070707" pitchFamily="18" charset="2"/>
                </a:rPr>
                <a:t></a:t>
              </a:r>
              <a:endParaRPr lang="ru-RU" sz="2400" b="1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Times New Roman" panose="02020603050405020304" pitchFamily="18" charset="0"/>
                <a:ea typeface="Yahfie" pitchFamily="2" charset="-128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948" name="giveup_yes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giveup_menu.give_up()};&#10;&#10;#objects[obj_name].pointerover=function(){this.tint=0xff9999};&#10;objects[obj_name].pointerout=function(){this.tint=this.base_tint};#png#1.5" title="giveup_yes#sprite">
              <a:extLst>
                <a:ext uri="{FF2B5EF4-FFF2-40B4-BE49-F238E27FC236}">
                  <a16:creationId xmlns:a16="http://schemas.microsoft.com/office/drawing/2014/main" id="{7C447A9D-771F-44DB-B2C3-98997A59919E}"/>
                </a:ext>
              </a:extLst>
            </xdr:cNvPr>
            <xdr:cNvSpPr/>
          </xdr:nvSpPr>
          <xdr:spPr>
            <a:xfrm>
              <a:off x="6000750" y="1682750"/>
              <a:ext cx="1905000" cy="26670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946" name="giveup_title#block" descr="objects[obj_name]=new PIXI.BitmapText(['Уверены?','Sure?'][LANG], {fontName: 'mfont',fontSize: 25,align: 'center'});&#10;objects[obj_name].anchor.set(0.5,0);&#10;objects[obj_name].x=$x;&#10;objects[obj_name].y=$y;&#10;objects[obj_name].base_tint=objects[obj_name].tint=$t_col;##png" title="req_name#block">
            <a:extLst>
              <a:ext uri="{FF2B5EF4-FFF2-40B4-BE49-F238E27FC236}">
                <a16:creationId xmlns:a16="http://schemas.microsoft.com/office/drawing/2014/main" id="{FE48D8B6-CF4D-47A6-AF9A-F1FCA85FFA9A}"/>
              </a:ext>
            </a:extLst>
          </xdr:cNvPr>
          <xdr:cNvSpPr/>
        </xdr:nvSpPr>
        <xdr:spPr>
          <a:xfrm>
            <a:off x="13049251" y="8667750"/>
            <a:ext cx="15240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Уверены</a:t>
            </a:r>
          </a:p>
        </xdr:txBody>
      </xdr:sp>
    </xdr:grpSp>
    <xdr:clientData/>
  </xdr:twoCellAnchor>
  <xdr:twoCellAnchor>
    <xdr:from>
      <xdr:col>98</xdr:col>
      <xdr:colOff>57150</xdr:colOff>
      <xdr:row>116</xdr:row>
      <xdr:rowOff>38100</xdr:rowOff>
    </xdr:from>
    <xdr:to>
      <xdr:col>121</xdr:col>
      <xdr:colOff>95250</xdr:colOff>
      <xdr:row>146</xdr:row>
      <xdr:rowOff>38100</xdr:rowOff>
    </xdr:to>
    <xdr:grpSp>
      <xdr:nvGrpSpPr>
        <xdr:cNvPr id="953" name="invite_cont#contTOP">
          <a:extLst>
            <a:ext uri="{FF2B5EF4-FFF2-40B4-BE49-F238E27FC236}">
              <a16:creationId xmlns:a16="http://schemas.microsoft.com/office/drawing/2014/main" id="{7C1794D0-2CEE-45E9-9F7A-C02A6D0DA301}"/>
            </a:ext>
          </a:extLst>
        </xdr:cNvPr>
        <xdr:cNvGrpSpPr/>
      </xdr:nvGrpSpPr>
      <xdr:grpSpPr>
        <a:xfrm>
          <a:off x="9391650" y="11087100"/>
          <a:ext cx="2228850" cy="2857500"/>
          <a:chOff x="9239250" y="5905500"/>
          <a:chExt cx="2667000" cy="3429000"/>
        </a:xfrm>
      </xdr:grpSpPr>
      <xdr:grpSp>
        <xdr:nvGrpSpPr>
          <xdr:cNvPr id="954" name="invite_bcg#spriteTOP" title="invite_bcg#sprite">
            <a:extLst>
              <a:ext uri="{FF2B5EF4-FFF2-40B4-BE49-F238E27FC236}">
                <a16:creationId xmlns:a16="http://schemas.microsoft.com/office/drawing/2014/main" id="{01FE314D-22EB-4606-B3F5-A8C87501142A}"/>
              </a:ext>
            </a:extLst>
          </xdr:cNvPr>
          <xdr:cNvGrpSpPr/>
        </xdr:nvGrpSpPr>
        <xdr:grpSpPr>
          <a:xfrm>
            <a:off x="9334500" y="6000750"/>
            <a:ext cx="2476500" cy="3047999"/>
            <a:chOff x="20383500" y="5905501"/>
            <a:chExt cx="2476500" cy="3047999"/>
          </a:xfrm>
        </xdr:grpSpPr>
        <xdr:sp macro="" textlink="">
          <xdr:nvSpPr>
            <xdr:cNvPr id="1158" name="object">
              <a:extLst>
                <a:ext uri="{FF2B5EF4-FFF2-40B4-BE49-F238E27FC236}">
                  <a16:creationId xmlns:a16="http://schemas.microsoft.com/office/drawing/2014/main" id="{F1E8A2A7-1C7B-4BFE-BD7C-98A230ADF9C5}"/>
                </a:ext>
              </a:extLst>
            </xdr:cNvPr>
            <xdr:cNvSpPr/>
          </xdr:nvSpPr>
          <xdr:spPr>
            <a:xfrm>
              <a:off x="20478750" y="6000750"/>
              <a:ext cx="2286000" cy="2857500"/>
            </a:xfrm>
            <a:prstGeom prst="roundRect">
              <a:avLst>
                <a:gd name="adj" fmla="val 8334"/>
              </a:avLst>
            </a:prstGeom>
            <a:solidFill>
              <a:schemeClr val="accent4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79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59" name="object">
              <a:extLst>
                <a:ext uri="{FF2B5EF4-FFF2-40B4-BE49-F238E27FC236}">
                  <a16:creationId xmlns:a16="http://schemas.microsoft.com/office/drawing/2014/main" id="{7E321724-E179-4EF2-A946-9D2DF9851E7C}"/>
                </a:ext>
              </a:extLst>
            </xdr:cNvPr>
            <xdr:cNvSpPr/>
          </xdr:nvSpPr>
          <xdr:spPr>
            <a:xfrm>
              <a:off x="20955000" y="6191250"/>
              <a:ext cx="1238250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160" name="invite_bcg#sprite" descr="objects[obj_name].x=$x;&#10;objects[obj_name].y=$y;&#10;objects[obj_name].width=$w;&#10;objects[obj_name].height=$h;&#10;objects[obj_name].base_tint=objects[obj_name].tint;##png#1.5" title="invite_bcg#sprite">
              <a:extLst>
                <a:ext uri="{FF2B5EF4-FFF2-40B4-BE49-F238E27FC236}">
                  <a16:creationId xmlns:a16="http://schemas.microsoft.com/office/drawing/2014/main" id="{7C16C304-CE55-4995-862F-A3C01A8A5B4D}"/>
                </a:ext>
              </a:extLst>
            </xdr:cNvPr>
            <xdr:cNvSpPr/>
          </xdr:nvSpPr>
          <xdr:spPr>
            <a:xfrm>
              <a:off x="20383500" y="5905501"/>
              <a:ext cx="2476500" cy="30479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955" name="invite_name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invite_name#block">
            <a:extLst>
              <a:ext uri="{FF2B5EF4-FFF2-40B4-BE49-F238E27FC236}">
                <a16:creationId xmlns:a16="http://schemas.microsoft.com/office/drawing/2014/main" id="{90CF064C-458B-4044-9D47-2D26EF76FECB}"/>
              </a:ext>
            </a:extLst>
          </xdr:cNvPr>
          <xdr:cNvSpPr/>
        </xdr:nvSpPr>
        <xdr:spPr>
          <a:xfrm>
            <a:off x="9810750" y="7658100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956" name="invite_rating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invite_rating#block">
            <a:extLst>
              <a:ext uri="{FF2B5EF4-FFF2-40B4-BE49-F238E27FC236}">
                <a16:creationId xmlns:a16="http://schemas.microsoft.com/office/drawing/2014/main" id="{349843ED-472D-417D-892B-C5B26E001010}"/>
              </a:ext>
            </a:extLst>
          </xdr:cNvPr>
          <xdr:cNvSpPr/>
        </xdr:nvSpPr>
        <xdr:spPr>
          <a:xfrm>
            <a:off x="9810750" y="7934325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957" name="invite_avatar#block" descr="objects[obj_name]=new PIXI.Sprite();&#10;objects[obj_name].sx=objects[obj_name].x=$x;&#10;objects[obj_name].sy=objects[obj_name].y=$y;&#10;objects[obj_name].width=$w;&#10;objects[obj_name].height=$h;&#10;#&#10;&#10;#png#1" title="invite_avatar#block">
            <a:extLst>
              <a:ext uri="{FF2B5EF4-FFF2-40B4-BE49-F238E27FC236}">
                <a16:creationId xmlns:a16="http://schemas.microsoft.com/office/drawing/2014/main" id="{4B24017F-9E16-4614-ABF7-761BEDC98A92}"/>
              </a:ext>
            </a:extLst>
          </xdr:cNvPr>
          <xdr:cNvSpPr/>
        </xdr:nvSpPr>
        <xdr:spPr>
          <a:xfrm>
            <a:off x="9906000" y="628650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58" name="invite_cont#cont" descr="objects[obj_name]=new PIXI.Container();&#10;objects[obj_name].visible=false;&#10;objects[obj_name].sx=objects[obj_name].x=260;&#10;objects[obj_name].sy=objects[obj_name].y=50;&#10;&#10;#objects[obj_name].addChild(objects.invite_bcg);&#10;objects[obj_name].addChild(objects.invite_avatar);&#10;objects[obj_name].addChild(objects.invite_name);&#10;objects[obj_name].addChild(objects.invite_rating);&#10;objects[obj_name].addChild(objects.invite_button);&#10;objects[obj_name].addChild(objects.invite_button_title);&#10;objects[obj_name].addChild(objects.invite_close);&#10;app.stage.addChild(objects[obj_name]);#png" title="invite_cont#cont">
            <a:extLst>
              <a:ext uri="{FF2B5EF4-FFF2-40B4-BE49-F238E27FC236}">
                <a16:creationId xmlns:a16="http://schemas.microsoft.com/office/drawing/2014/main" id="{F4F67213-7670-49A2-BD7C-B5AA6633A293}"/>
              </a:ext>
            </a:extLst>
          </xdr:cNvPr>
          <xdr:cNvSpPr/>
        </xdr:nvSpPr>
        <xdr:spPr>
          <a:xfrm>
            <a:off x="9239250" y="5905500"/>
            <a:ext cx="2667000" cy="3429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959" name="invite_close#spriteTOP" title="invite_close#sprite">
            <a:extLst>
              <a:ext uri="{FF2B5EF4-FFF2-40B4-BE49-F238E27FC236}">
                <a16:creationId xmlns:a16="http://schemas.microsoft.com/office/drawing/2014/main" id="{228F39D1-E5ED-4B1D-A4E3-B360EBD2F061}"/>
              </a:ext>
            </a:extLst>
          </xdr:cNvPr>
          <xdr:cNvGrpSpPr/>
        </xdr:nvGrpSpPr>
        <xdr:grpSpPr>
          <a:xfrm>
            <a:off x="11204972" y="6122193"/>
            <a:ext cx="476250" cy="476250"/>
            <a:chOff x="10639425" y="5229225"/>
            <a:chExt cx="476250" cy="476250"/>
          </a:xfrm>
        </xdr:grpSpPr>
        <xdr:sp macro="" textlink="">
          <xdr:nvSpPr>
            <xdr:cNvPr id="1156" name="invite_close#sprite" descr="objects[obj_name].x=$x;&#10;objects[obj_name].y=$y;&#10;objects[obj_name].width=$w;&#10;objects[obj_name].height=$h;&#10;objects[obj_name].interactive=true;&#10;objects[obj_name].buttonMode=true;&#10;objects[obj_name].pointerdown=function(){cards_menu.hide_invite_dialog()};&#10;objects[obj_name].base_tint=objects[obj_name].tint;##png#1.5" title="invite_close#sprite">
              <a:extLst>
                <a:ext uri="{FF2B5EF4-FFF2-40B4-BE49-F238E27FC236}">
                  <a16:creationId xmlns:a16="http://schemas.microsoft.com/office/drawing/2014/main" id="{97DD9658-B295-4AC4-AAEC-B8D9283C1442}"/>
                </a:ext>
              </a:extLst>
            </xdr:cNvPr>
            <xdr:cNvSpPr/>
          </xdr:nvSpPr>
          <xdr:spPr>
            <a:xfrm>
              <a:off x="10639425" y="5229225"/>
              <a:ext cx="476250" cy="476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157" name="object">
              <a:extLst>
                <a:ext uri="{FF2B5EF4-FFF2-40B4-BE49-F238E27FC236}">
                  <a16:creationId xmlns:a16="http://schemas.microsoft.com/office/drawing/2014/main" id="{A1C721EE-7C2A-4FE3-A646-F3B87505F2A8}"/>
                </a:ext>
              </a:extLst>
            </xdr:cNvPr>
            <xdr:cNvSpPr/>
          </xdr:nvSpPr>
          <xdr:spPr>
            <a:xfrm>
              <a:off x="10675142" y="5270896"/>
              <a:ext cx="404814" cy="398859"/>
            </a:xfrm>
            <a:custGeom>
              <a:avLst/>
              <a:gdLst>
                <a:gd name="connsiteX0" fmla="*/ 0 w 476250"/>
                <a:gd name="connsiteY0" fmla="*/ 0 h 476250"/>
                <a:gd name="connsiteX1" fmla="*/ 476250 w 476250"/>
                <a:gd name="connsiteY1" fmla="*/ 0 h 476250"/>
                <a:gd name="connsiteX2" fmla="*/ 476250 w 476250"/>
                <a:gd name="connsiteY2" fmla="*/ 476250 h 476250"/>
                <a:gd name="connsiteX3" fmla="*/ 0 w 476250"/>
                <a:gd name="connsiteY3" fmla="*/ 476250 h 476250"/>
                <a:gd name="connsiteX4" fmla="*/ 0 w 476250"/>
                <a:gd name="connsiteY4" fmla="*/ 0 h 476250"/>
                <a:gd name="connsiteX0" fmla="*/ 0 w 476250"/>
                <a:gd name="connsiteY0" fmla="*/ 0 h 476250"/>
                <a:gd name="connsiteX1" fmla="*/ 202405 w 476250"/>
                <a:gd name="connsiteY1" fmla="*/ 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244077 w 476250"/>
                <a:gd name="connsiteY4" fmla="*/ 470297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190499 w 476250"/>
                <a:gd name="connsiteY4" fmla="*/ 285750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232172 h 476250"/>
                <a:gd name="connsiteX7" fmla="*/ 0 w 38099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0 h 476250"/>
                <a:gd name="connsiteX7" fmla="*/ 95250 w 47624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41672 w 476249"/>
                <a:gd name="connsiteY6" fmla="*/ 244078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476250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50"/>
                <a:gd name="connsiteY0" fmla="*/ 0 h 476250"/>
                <a:gd name="connsiteX1" fmla="*/ 285749 w 476250"/>
                <a:gd name="connsiteY1" fmla="*/ 190500 h 476250"/>
                <a:gd name="connsiteX2" fmla="*/ 476249 w 476250"/>
                <a:gd name="connsiteY2" fmla="*/ 0 h 476250"/>
                <a:gd name="connsiteX3" fmla="*/ 476250 w 476250"/>
                <a:gd name="connsiteY3" fmla="*/ 226219 h 476250"/>
                <a:gd name="connsiteX4" fmla="*/ 476249 w 476250"/>
                <a:gd name="connsiteY4" fmla="*/ 476250 h 476250"/>
                <a:gd name="connsiteX5" fmla="*/ 285749 w 476250"/>
                <a:gd name="connsiteY5" fmla="*/ 285750 h 476250"/>
                <a:gd name="connsiteX6" fmla="*/ 95250 w 476250"/>
                <a:gd name="connsiteY6" fmla="*/ 476250 h 476250"/>
                <a:gd name="connsiteX7" fmla="*/ 0 w 476250"/>
                <a:gd name="connsiteY7" fmla="*/ 476250 h 476250"/>
                <a:gd name="connsiteX8" fmla="*/ 0 w 476250"/>
                <a:gd name="connsiteY8" fmla="*/ 0 h 476250"/>
                <a:gd name="connsiteX9" fmla="*/ 95250 w 476250"/>
                <a:gd name="connsiteY9" fmla="*/ 0 h 476250"/>
                <a:gd name="connsiteX0" fmla="*/ 95250 w 571499"/>
                <a:gd name="connsiteY0" fmla="*/ 0 h 500309"/>
                <a:gd name="connsiteX1" fmla="*/ 285749 w 571499"/>
                <a:gd name="connsiteY1" fmla="*/ 190500 h 500309"/>
                <a:gd name="connsiteX2" fmla="*/ 476249 w 571499"/>
                <a:gd name="connsiteY2" fmla="*/ 0 h 500309"/>
                <a:gd name="connsiteX3" fmla="*/ 571499 w 571499"/>
                <a:gd name="connsiteY3" fmla="*/ 476250 h 500309"/>
                <a:gd name="connsiteX4" fmla="*/ 476249 w 571499"/>
                <a:gd name="connsiteY4" fmla="*/ 476250 h 500309"/>
                <a:gd name="connsiteX5" fmla="*/ 285749 w 571499"/>
                <a:gd name="connsiteY5" fmla="*/ 285750 h 500309"/>
                <a:gd name="connsiteX6" fmla="*/ 95250 w 571499"/>
                <a:gd name="connsiteY6" fmla="*/ 476250 h 500309"/>
                <a:gd name="connsiteX7" fmla="*/ 0 w 571499"/>
                <a:gd name="connsiteY7" fmla="*/ 476250 h 500309"/>
                <a:gd name="connsiteX8" fmla="*/ 0 w 571499"/>
                <a:gd name="connsiteY8" fmla="*/ 0 h 500309"/>
                <a:gd name="connsiteX9" fmla="*/ 95250 w 571499"/>
                <a:gd name="connsiteY9" fmla="*/ 0 h 500309"/>
                <a:gd name="connsiteX0" fmla="*/ 95250 w 572537"/>
                <a:gd name="connsiteY0" fmla="*/ 28 h 500337"/>
                <a:gd name="connsiteX1" fmla="*/ 285749 w 572537"/>
                <a:gd name="connsiteY1" fmla="*/ 190528 h 500337"/>
                <a:gd name="connsiteX2" fmla="*/ 476249 w 572537"/>
                <a:gd name="connsiteY2" fmla="*/ 28 h 500337"/>
                <a:gd name="connsiteX3" fmla="*/ 523874 w 572537"/>
                <a:gd name="connsiteY3" fmla="*/ 178622 h 500337"/>
                <a:gd name="connsiteX4" fmla="*/ 571499 w 572537"/>
                <a:gd name="connsiteY4" fmla="*/ 476278 h 500337"/>
                <a:gd name="connsiteX5" fmla="*/ 476249 w 572537"/>
                <a:gd name="connsiteY5" fmla="*/ 476278 h 500337"/>
                <a:gd name="connsiteX6" fmla="*/ 285749 w 572537"/>
                <a:gd name="connsiteY6" fmla="*/ 285778 h 500337"/>
                <a:gd name="connsiteX7" fmla="*/ 95250 w 572537"/>
                <a:gd name="connsiteY7" fmla="*/ 476278 h 500337"/>
                <a:gd name="connsiteX8" fmla="*/ 0 w 572537"/>
                <a:gd name="connsiteY8" fmla="*/ 476278 h 500337"/>
                <a:gd name="connsiteX9" fmla="*/ 0 w 572537"/>
                <a:gd name="connsiteY9" fmla="*/ 28 h 500337"/>
                <a:gd name="connsiteX10" fmla="*/ 95250 w 572537"/>
                <a:gd name="connsiteY10" fmla="*/ 28 h 500337"/>
                <a:gd name="connsiteX0" fmla="*/ 95250 w 580664"/>
                <a:gd name="connsiteY0" fmla="*/ 35722 h 536031"/>
                <a:gd name="connsiteX1" fmla="*/ 285749 w 580664"/>
                <a:gd name="connsiteY1" fmla="*/ 226222 h 536031"/>
                <a:gd name="connsiteX2" fmla="*/ 476249 w 580664"/>
                <a:gd name="connsiteY2" fmla="*/ 35722 h 536031"/>
                <a:gd name="connsiteX3" fmla="*/ 571499 w 580664"/>
                <a:gd name="connsiteY3" fmla="*/ 35722 h 536031"/>
                <a:gd name="connsiteX4" fmla="*/ 571499 w 580664"/>
                <a:gd name="connsiteY4" fmla="*/ 511972 h 536031"/>
                <a:gd name="connsiteX5" fmla="*/ 476249 w 580664"/>
                <a:gd name="connsiteY5" fmla="*/ 511972 h 536031"/>
                <a:gd name="connsiteX6" fmla="*/ 285749 w 580664"/>
                <a:gd name="connsiteY6" fmla="*/ 321472 h 536031"/>
                <a:gd name="connsiteX7" fmla="*/ 95250 w 580664"/>
                <a:gd name="connsiteY7" fmla="*/ 511972 h 536031"/>
                <a:gd name="connsiteX8" fmla="*/ 0 w 580664"/>
                <a:gd name="connsiteY8" fmla="*/ 511972 h 536031"/>
                <a:gd name="connsiteX9" fmla="*/ 0 w 580664"/>
                <a:gd name="connsiteY9" fmla="*/ 35722 h 536031"/>
                <a:gd name="connsiteX10" fmla="*/ 95250 w 580664"/>
                <a:gd name="connsiteY10" fmla="*/ 35722 h 536031"/>
                <a:gd name="connsiteX0" fmla="*/ 95250 w 580664"/>
                <a:gd name="connsiteY0" fmla="*/ 43438 h 543747"/>
                <a:gd name="connsiteX1" fmla="*/ 285749 w 580664"/>
                <a:gd name="connsiteY1" fmla="*/ 233938 h 543747"/>
                <a:gd name="connsiteX2" fmla="*/ 476249 w 580664"/>
                <a:gd name="connsiteY2" fmla="*/ 43438 h 543747"/>
                <a:gd name="connsiteX3" fmla="*/ 571499 w 580664"/>
                <a:gd name="connsiteY3" fmla="*/ 43438 h 543747"/>
                <a:gd name="connsiteX4" fmla="*/ 571499 w 580664"/>
                <a:gd name="connsiteY4" fmla="*/ 519688 h 543747"/>
                <a:gd name="connsiteX5" fmla="*/ 476249 w 580664"/>
                <a:gd name="connsiteY5" fmla="*/ 519688 h 543747"/>
                <a:gd name="connsiteX6" fmla="*/ 285749 w 580664"/>
                <a:gd name="connsiteY6" fmla="*/ 329188 h 543747"/>
                <a:gd name="connsiteX7" fmla="*/ 95250 w 580664"/>
                <a:gd name="connsiteY7" fmla="*/ 519688 h 543747"/>
                <a:gd name="connsiteX8" fmla="*/ 0 w 580664"/>
                <a:gd name="connsiteY8" fmla="*/ 519688 h 543747"/>
                <a:gd name="connsiteX9" fmla="*/ 0 w 580664"/>
                <a:gd name="connsiteY9" fmla="*/ 43438 h 543747"/>
                <a:gd name="connsiteX10" fmla="*/ 95250 w 580664"/>
                <a:gd name="connsiteY10" fmla="*/ 43438 h 543747"/>
                <a:gd name="connsiteX0" fmla="*/ 95250 w 580664"/>
                <a:gd name="connsiteY0" fmla="*/ 43438 h 519688"/>
                <a:gd name="connsiteX1" fmla="*/ 285749 w 580664"/>
                <a:gd name="connsiteY1" fmla="*/ 233938 h 519688"/>
                <a:gd name="connsiteX2" fmla="*/ 476249 w 580664"/>
                <a:gd name="connsiteY2" fmla="*/ 43438 h 519688"/>
                <a:gd name="connsiteX3" fmla="*/ 571499 w 580664"/>
                <a:gd name="connsiteY3" fmla="*/ 43438 h 519688"/>
                <a:gd name="connsiteX4" fmla="*/ 571499 w 580664"/>
                <a:gd name="connsiteY4" fmla="*/ 519688 h 519688"/>
                <a:gd name="connsiteX5" fmla="*/ 476249 w 580664"/>
                <a:gd name="connsiteY5" fmla="*/ 519688 h 519688"/>
                <a:gd name="connsiteX6" fmla="*/ 285749 w 580664"/>
                <a:gd name="connsiteY6" fmla="*/ 329188 h 519688"/>
                <a:gd name="connsiteX7" fmla="*/ 95250 w 580664"/>
                <a:gd name="connsiteY7" fmla="*/ 519688 h 519688"/>
                <a:gd name="connsiteX8" fmla="*/ 0 w 580664"/>
                <a:gd name="connsiteY8" fmla="*/ 519688 h 519688"/>
                <a:gd name="connsiteX9" fmla="*/ 0 w 580664"/>
                <a:gd name="connsiteY9" fmla="*/ 43438 h 519688"/>
                <a:gd name="connsiteX10" fmla="*/ 95250 w 580664"/>
                <a:gd name="connsiteY10" fmla="*/ 43438 h 519688"/>
                <a:gd name="connsiteX0" fmla="*/ 95250 w 580664"/>
                <a:gd name="connsiteY0" fmla="*/ 0 h 476250"/>
                <a:gd name="connsiteX1" fmla="*/ 285749 w 580664"/>
                <a:gd name="connsiteY1" fmla="*/ 190500 h 476250"/>
                <a:gd name="connsiteX2" fmla="*/ 476249 w 580664"/>
                <a:gd name="connsiteY2" fmla="*/ 0 h 476250"/>
                <a:gd name="connsiteX3" fmla="*/ 571499 w 580664"/>
                <a:gd name="connsiteY3" fmla="*/ 0 h 476250"/>
                <a:gd name="connsiteX4" fmla="*/ 571499 w 580664"/>
                <a:gd name="connsiteY4" fmla="*/ 476250 h 476250"/>
                <a:gd name="connsiteX5" fmla="*/ 476249 w 580664"/>
                <a:gd name="connsiteY5" fmla="*/ 476250 h 476250"/>
                <a:gd name="connsiteX6" fmla="*/ 285749 w 580664"/>
                <a:gd name="connsiteY6" fmla="*/ 285750 h 476250"/>
                <a:gd name="connsiteX7" fmla="*/ 95250 w 580664"/>
                <a:gd name="connsiteY7" fmla="*/ 476250 h 476250"/>
                <a:gd name="connsiteX8" fmla="*/ 0 w 580664"/>
                <a:gd name="connsiteY8" fmla="*/ 476250 h 476250"/>
                <a:gd name="connsiteX9" fmla="*/ 0 w 580664"/>
                <a:gd name="connsiteY9" fmla="*/ 0 h 476250"/>
                <a:gd name="connsiteX10" fmla="*/ 95250 w 580664"/>
                <a:gd name="connsiteY10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0 w 571499"/>
                <a:gd name="connsiteY9" fmla="*/ 0 h 476250"/>
                <a:gd name="connsiteX10" fmla="*/ 95250 w 571499"/>
                <a:gd name="connsiteY10" fmla="*/ 0 h 476250"/>
                <a:gd name="connsiteX0" fmla="*/ 99715 w 575964"/>
                <a:gd name="connsiteY0" fmla="*/ 0 h 476250"/>
                <a:gd name="connsiteX1" fmla="*/ 290214 w 575964"/>
                <a:gd name="connsiteY1" fmla="*/ 190500 h 476250"/>
                <a:gd name="connsiteX2" fmla="*/ 480714 w 575964"/>
                <a:gd name="connsiteY2" fmla="*/ 0 h 476250"/>
                <a:gd name="connsiteX3" fmla="*/ 575964 w 575964"/>
                <a:gd name="connsiteY3" fmla="*/ 0 h 476250"/>
                <a:gd name="connsiteX4" fmla="*/ 575964 w 575964"/>
                <a:gd name="connsiteY4" fmla="*/ 476250 h 476250"/>
                <a:gd name="connsiteX5" fmla="*/ 480714 w 575964"/>
                <a:gd name="connsiteY5" fmla="*/ 476250 h 476250"/>
                <a:gd name="connsiteX6" fmla="*/ 290214 w 575964"/>
                <a:gd name="connsiteY6" fmla="*/ 285750 h 476250"/>
                <a:gd name="connsiteX7" fmla="*/ 99715 w 575964"/>
                <a:gd name="connsiteY7" fmla="*/ 476250 h 476250"/>
                <a:gd name="connsiteX8" fmla="*/ 4465 w 575964"/>
                <a:gd name="connsiteY8" fmla="*/ 476250 h 476250"/>
                <a:gd name="connsiteX9" fmla="*/ 0 w 575964"/>
                <a:gd name="connsiteY9" fmla="*/ 229621 h 476250"/>
                <a:gd name="connsiteX10" fmla="*/ 4465 w 575964"/>
                <a:gd name="connsiteY10" fmla="*/ 0 h 476250"/>
                <a:gd name="connsiteX11" fmla="*/ 99715 w 575964"/>
                <a:gd name="connsiteY11" fmla="*/ 0 h 476250"/>
                <a:gd name="connsiteX0" fmla="*/ 107156 w 583405"/>
                <a:gd name="connsiteY0" fmla="*/ 0 h 476250"/>
                <a:gd name="connsiteX1" fmla="*/ 297655 w 583405"/>
                <a:gd name="connsiteY1" fmla="*/ 190500 h 476250"/>
                <a:gd name="connsiteX2" fmla="*/ 488155 w 583405"/>
                <a:gd name="connsiteY2" fmla="*/ 0 h 476250"/>
                <a:gd name="connsiteX3" fmla="*/ 583405 w 583405"/>
                <a:gd name="connsiteY3" fmla="*/ 0 h 476250"/>
                <a:gd name="connsiteX4" fmla="*/ 583405 w 583405"/>
                <a:gd name="connsiteY4" fmla="*/ 476250 h 476250"/>
                <a:gd name="connsiteX5" fmla="*/ 488155 w 583405"/>
                <a:gd name="connsiteY5" fmla="*/ 476250 h 476250"/>
                <a:gd name="connsiteX6" fmla="*/ 297655 w 583405"/>
                <a:gd name="connsiteY6" fmla="*/ 285750 h 476250"/>
                <a:gd name="connsiteX7" fmla="*/ 107156 w 583405"/>
                <a:gd name="connsiteY7" fmla="*/ 476250 h 476250"/>
                <a:gd name="connsiteX8" fmla="*/ 11906 w 583405"/>
                <a:gd name="connsiteY8" fmla="*/ 476250 h 476250"/>
                <a:gd name="connsiteX9" fmla="*/ 11906 w 583405"/>
                <a:gd name="connsiteY9" fmla="*/ 0 h 476250"/>
                <a:gd name="connsiteX10" fmla="*/ 107156 w 583405"/>
                <a:gd name="connsiteY10" fmla="*/ 0 h 476250"/>
                <a:gd name="connsiteX0" fmla="*/ 108465 w 584714"/>
                <a:gd name="connsiteY0" fmla="*/ 0 h 476250"/>
                <a:gd name="connsiteX1" fmla="*/ 298964 w 584714"/>
                <a:gd name="connsiteY1" fmla="*/ 190500 h 476250"/>
                <a:gd name="connsiteX2" fmla="*/ 489464 w 584714"/>
                <a:gd name="connsiteY2" fmla="*/ 0 h 476250"/>
                <a:gd name="connsiteX3" fmla="*/ 584714 w 584714"/>
                <a:gd name="connsiteY3" fmla="*/ 0 h 476250"/>
                <a:gd name="connsiteX4" fmla="*/ 584714 w 584714"/>
                <a:gd name="connsiteY4" fmla="*/ 476250 h 476250"/>
                <a:gd name="connsiteX5" fmla="*/ 489464 w 584714"/>
                <a:gd name="connsiteY5" fmla="*/ 476250 h 476250"/>
                <a:gd name="connsiteX6" fmla="*/ 298964 w 584714"/>
                <a:gd name="connsiteY6" fmla="*/ 285750 h 476250"/>
                <a:gd name="connsiteX7" fmla="*/ 108465 w 584714"/>
                <a:gd name="connsiteY7" fmla="*/ 476250 h 476250"/>
                <a:gd name="connsiteX8" fmla="*/ 13215 w 584714"/>
                <a:gd name="connsiteY8" fmla="*/ 476250 h 476250"/>
                <a:gd name="connsiteX9" fmla="*/ 805 w 584714"/>
                <a:gd name="connsiteY9" fmla="*/ 223242 h 476250"/>
                <a:gd name="connsiteX10" fmla="*/ 13215 w 584714"/>
                <a:gd name="connsiteY10" fmla="*/ 0 h 476250"/>
                <a:gd name="connsiteX11" fmla="*/ 108465 w 584714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190171 w 571499"/>
                <a:gd name="connsiteY9" fmla="*/ 238125 h 476250"/>
                <a:gd name="connsiteX10" fmla="*/ 0 w 571499"/>
                <a:gd name="connsiteY10" fmla="*/ 0 h 476250"/>
                <a:gd name="connsiteX11" fmla="*/ 95250 w 571499"/>
                <a:gd name="connsiteY11" fmla="*/ 0 h 476250"/>
                <a:gd name="connsiteX0" fmla="*/ 95250 w 575471"/>
                <a:gd name="connsiteY0" fmla="*/ 0 h 476250"/>
                <a:gd name="connsiteX1" fmla="*/ 285749 w 575471"/>
                <a:gd name="connsiteY1" fmla="*/ 190500 h 476250"/>
                <a:gd name="connsiteX2" fmla="*/ 476249 w 575471"/>
                <a:gd name="connsiteY2" fmla="*/ 0 h 476250"/>
                <a:gd name="connsiteX3" fmla="*/ 571499 w 575471"/>
                <a:gd name="connsiteY3" fmla="*/ 0 h 476250"/>
                <a:gd name="connsiteX4" fmla="*/ 575471 w 575471"/>
                <a:gd name="connsiteY4" fmla="*/ 241846 h 476250"/>
                <a:gd name="connsiteX5" fmla="*/ 571499 w 575471"/>
                <a:gd name="connsiteY5" fmla="*/ 476250 h 476250"/>
                <a:gd name="connsiteX6" fmla="*/ 476249 w 575471"/>
                <a:gd name="connsiteY6" fmla="*/ 476250 h 476250"/>
                <a:gd name="connsiteX7" fmla="*/ 285749 w 575471"/>
                <a:gd name="connsiteY7" fmla="*/ 285750 h 476250"/>
                <a:gd name="connsiteX8" fmla="*/ 95250 w 575471"/>
                <a:gd name="connsiteY8" fmla="*/ 476250 h 476250"/>
                <a:gd name="connsiteX9" fmla="*/ 0 w 575471"/>
                <a:gd name="connsiteY9" fmla="*/ 476250 h 476250"/>
                <a:gd name="connsiteX10" fmla="*/ 190171 w 575471"/>
                <a:gd name="connsiteY10" fmla="*/ 238125 h 476250"/>
                <a:gd name="connsiteX11" fmla="*/ 0 w 575471"/>
                <a:gd name="connsiteY11" fmla="*/ 0 h 476250"/>
                <a:gd name="connsiteX12" fmla="*/ 95250 w 575471"/>
                <a:gd name="connsiteY12" fmla="*/ 0 h 476250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3580"/>
                <a:gd name="connsiteY0" fmla="*/ 17639 h 493889"/>
                <a:gd name="connsiteX1" fmla="*/ 285749 w 573580"/>
                <a:gd name="connsiteY1" fmla="*/ 208139 h 493889"/>
                <a:gd name="connsiteX2" fmla="*/ 476249 w 573580"/>
                <a:gd name="connsiteY2" fmla="*/ 17639 h 493889"/>
                <a:gd name="connsiteX3" fmla="*/ 571499 w 573580"/>
                <a:gd name="connsiteY3" fmla="*/ 17639 h 493889"/>
                <a:gd name="connsiteX4" fmla="*/ 380834 w 573580"/>
                <a:gd name="connsiteY4" fmla="*/ 255765 h 493889"/>
                <a:gd name="connsiteX5" fmla="*/ 571499 w 573580"/>
                <a:gd name="connsiteY5" fmla="*/ 493889 h 493889"/>
                <a:gd name="connsiteX6" fmla="*/ 476249 w 573580"/>
                <a:gd name="connsiteY6" fmla="*/ 493889 h 493889"/>
                <a:gd name="connsiteX7" fmla="*/ 285749 w 573580"/>
                <a:gd name="connsiteY7" fmla="*/ 303389 h 493889"/>
                <a:gd name="connsiteX8" fmla="*/ 95250 w 573580"/>
                <a:gd name="connsiteY8" fmla="*/ 493889 h 493889"/>
                <a:gd name="connsiteX9" fmla="*/ 0 w 573580"/>
                <a:gd name="connsiteY9" fmla="*/ 493889 h 493889"/>
                <a:gd name="connsiteX10" fmla="*/ 190171 w 573580"/>
                <a:gd name="connsiteY10" fmla="*/ 255764 h 493889"/>
                <a:gd name="connsiteX11" fmla="*/ 0 w 573580"/>
                <a:gd name="connsiteY11" fmla="*/ 17639 h 493889"/>
                <a:gd name="connsiteX12" fmla="*/ 95250 w 573580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190171 w 571499"/>
                <a:gd name="connsiteY10" fmla="*/ 238125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76249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99992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67312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535782"/>
                <a:gd name="connsiteX1" fmla="*/ 357811 w 715068"/>
                <a:gd name="connsiteY1" fmla="*/ 190500 h 535782"/>
                <a:gd name="connsiteX2" fmla="*/ 548311 w 715068"/>
                <a:gd name="connsiteY2" fmla="*/ 0 h 535782"/>
                <a:gd name="connsiteX3" fmla="*/ 643561 w 715068"/>
                <a:gd name="connsiteY3" fmla="*/ 0 h 535782"/>
                <a:gd name="connsiteX4" fmla="*/ 429041 w 715068"/>
                <a:gd name="connsiteY4" fmla="*/ 238126 h 535782"/>
                <a:gd name="connsiteX5" fmla="*/ 715068 w 715068"/>
                <a:gd name="connsiteY5" fmla="*/ 476251 h 535782"/>
                <a:gd name="connsiteX6" fmla="*/ 572054 w 715068"/>
                <a:gd name="connsiteY6" fmla="*/ 476250 h 535782"/>
                <a:gd name="connsiteX7" fmla="*/ 357811 w 715068"/>
                <a:gd name="connsiteY7" fmla="*/ 285750 h 535782"/>
                <a:gd name="connsiteX8" fmla="*/ 71507 w 715068"/>
                <a:gd name="connsiteY8" fmla="*/ 535782 h 535782"/>
                <a:gd name="connsiteX9" fmla="*/ 0 w 715068"/>
                <a:gd name="connsiteY9" fmla="*/ 476250 h 535782"/>
                <a:gd name="connsiteX10" fmla="*/ 286027 w 715068"/>
                <a:gd name="connsiteY10" fmla="*/ 238126 h 535782"/>
                <a:gd name="connsiteX11" fmla="*/ 72062 w 715068"/>
                <a:gd name="connsiteY11" fmla="*/ 0 h 535782"/>
                <a:gd name="connsiteX12" fmla="*/ 167312 w 715068"/>
                <a:gd name="connsiteY12" fmla="*/ 0 h 535782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67312 w 715068"/>
                <a:gd name="connsiteY12" fmla="*/ 0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715068 w 715068"/>
                <a:gd name="connsiteY3" fmla="*/ 1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8185"/>
                <a:gd name="connsiteY0" fmla="*/ 17639 h 493889"/>
                <a:gd name="connsiteX1" fmla="*/ 357811 w 718185"/>
                <a:gd name="connsiteY1" fmla="*/ 208138 h 493889"/>
                <a:gd name="connsiteX2" fmla="*/ 572055 w 718185"/>
                <a:gd name="connsiteY2" fmla="*/ 17639 h 493889"/>
                <a:gd name="connsiteX3" fmla="*/ 715068 w 718185"/>
                <a:gd name="connsiteY3" fmla="*/ 17639 h 493889"/>
                <a:gd name="connsiteX4" fmla="*/ 429041 w 718185"/>
                <a:gd name="connsiteY4" fmla="*/ 255764 h 493889"/>
                <a:gd name="connsiteX5" fmla="*/ 715068 w 718185"/>
                <a:gd name="connsiteY5" fmla="*/ 493889 h 493889"/>
                <a:gd name="connsiteX6" fmla="*/ 572054 w 718185"/>
                <a:gd name="connsiteY6" fmla="*/ 493888 h 493889"/>
                <a:gd name="connsiteX7" fmla="*/ 357811 w 718185"/>
                <a:gd name="connsiteY7" fmla="*/ 303388 h 493889"/>
                <a:gd name="connsiteX8" fmla="*/ 143014 w 718185"/>
                <a:gd name="connsiteY8" fmla="*/ 493888 h 493889"/>
                <a:gd name="connsiteX9" fmla="*/ 0 w 718185"/>
                <a:gd name="connsiteY9" fmla="*/ 493888 h 493889"/>
                <a:gd name="connsiteX10" fmla="*/ 286027 w 718185"/>
                <a:gd name="connsiteY10" fmla="*/ 255764 h 493889"/>
                <a:gd name="connsiteX11" fmla="*/ 1 w 718185"/>
                <a:gd name="connsiteY11" fmla="*/ 17639 h 493889"/>
                <a:gd name="connsiteX12" fmla="*/ 143014 w 718185"/>
                <a:gd name="connsiteY12" fmla="*/ 17639 h 493889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8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0 h 476250"/>
                <a:gd name="connsiteX3" fmla="*/ 429041 w 715068"/>
                <a:gd name="connsiteY3" fmla="*/ 238125 h 476250"/>
                <a:gd name="connsiteX4" fmla="*/ 715068 w 715068"/>
                <a:gd name="connsiteY4" fmla="*/ 476250 h 476250"/>
                <a:gd name="connsiteX5" fmla="*/ 572054 w 715068"/>
                <a:gd name="connsiteY5" fmla="*/ 476249 h 476250"/>
                <a:gd name="connsiteX6" fmla="*/ 357811 w 715068"/>
                <a:gd name="connsiteY6" fmla="*/ 285749 h 476250"/>
                <a:gd name="connsiteX7" fmla="*/ 143014 w 715068"/>
                <a:gd name="connsiteY7" fmla="*/ 476249 h 476250"/>
                <a:gd name="connsiteX8" fmla="*/ 0 w 715068"/>
                <a:gd name="connsiteY8" fmla="*/ 476249 h 476250"/>
                <a:gd name="connsiteX9" fmla="*/ 286028 w 715068"/>
                <a:gd name="connsiteY9" fmla="*/ 238125 h 476250"/>
                <a:gd name="connsiteX10" fmla="*/ 1 w 715068"/>
                <a:gd name="connsiteY10" fmla="*/ 0 h 476250"/>
                <a:gd name="connsiteX11" fmla="*/ 143014 w 715068"/>
                <a:gd name="connsiteY11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429041 w 715068"/>
                <a:gd name="connsiteY2" fmla="*/ 238125 h 476250"/>
                <a:gd name="connsiteX3" fmla="*/ 715068 w 715068"/>
                <a:gd name="connsiteY3" fmla="*/ 476250 h 476250"/>
                <a:gd name="connsiteX4" fmla="*/ 572054 w 715068"/>
                <a:gd name="connsiteY4" fmla="*/ 476249 h 476250"/>
                <a:gd name="connsiteX5" fmla="*/ 357811 w 715068"/>
                <a:gd name="connsiteY5" fmla="*/ 285749 h 476250"/>
                <a:gd name="connsiteX6" fmla="*/ 143014 w 715068"/>
                <a:gd name="connsiteY6" fmla="*/ 476249 h 476250"/>
                <a:gd name="connsiteX7" fmla="*/ 0 w 715068"/>
                <a:gd name="connsiteY7" fmla="*/ 476249 h 476250"/>
                <a:gd name="connsiteX8" fmla="*/ 286028 w 715068"/>
                <a:gd name="connsiteY8" fmla="*/ 238125 h 476250"/>
                <a:gd name="connsiteX9" fmla="*/ 1 w 715068"/>
                <a:gd name="connsiteY9" fmla="*/ 0 h 476250"/>
                <a:gd name="connsiteX10" fmla="*/ 143014 w 715068"/>
                <a:gd name="connsiteY10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476250 h 476250"/>
                <a:gd name="connsiteX3" fmla="*/ 572054 w 715068"/>
                <a:gd name="connsiteY3" fmla="*/ 476249 h 476250"/>
                <a:gd name="connsiteX4" fmla="*/ 357811 w 715068"/>
                <a:gd name="connsiteY4" fmla="*/ 285749 h 476250"/>
                <a:gd name="connsiteX5" fmla="*/ 143014 w 715068"/>
                <a:gd name="connsiteY5" fmla="*/ 476249 h 476250"/>
                <a:gd name="connsiteX6" fmla="*/ 0 w 715068"/>
                <a:gd name="connsiteY6" fmla="*/ 476249 h 476250"/>
                <a:gd name="connsiteX7" fmla="*/ 286028 w 715068"/>
                <a:gd name="connsiteY7" fmla="*/ 238125 h 476250"/>
                <a:gd name="connsiteX8" fmla="*/ 1 w 715068"/>
                <a:gd name="connsiteY8" fmla="*/ 0 h 476250"/>
                <a:gd name="connsiteX9" fmla="*/ 143014 w 715068"/>
                <a:gd name="connsiteY9" fmla="*/ 0 h 476250"/>
                <a:gd name="connsiteX0" fmla="*/ 143014 w 715068"/>
                <a:gd name="connsiteY0" fmla="*/ 0 h 476250"/>
                <a:gd name="connsiteX1" fmla="*/ 715068 w 715068"/>
                <a:gd name="connsiteY1" fmla="*/ 476250 h 476250"/>
                <a:gd name="connsiteX2" fmla="*/ 572054 w 715068"/>
                <a:gd name="connsiteY2" fmla="*/ 476249 h 476250"/>
                <a:gd name="connsiteX3" fmla="*/ 357811 w 715068"/>
                <a:gd name="connsiteY3" fmla="*/ 285749 h 476250"/>
                <a:gd name="connsiteX4" fmla="*/ 143014 w 715068"/>
                <a:gd name="connsiteY4" fmla="*/ 476249 h 476250"/>
                <a:gd name="connsiteX5" fmla="*/ 0 w 715068"/>
                <a:gd name="connsiteY5" fmla="*/ 476249 h 476250"/>
                <a:gd name="connsiteX6" fmla="*/ 286028 w 715068"/>
                <a:gd name="connsiteY6" fmla="*/ 238125 h 476250"/>
                <a:gd name="connsiteX7" fmla="*/ 1 w 715068"/>
                <a:gd name="connsiteY7" fmla="*/ 0 h 476250"/>
                <a:gd name="connsiteX8" fmla="*/ 143014 w 715068"/>
                <a:gd name="connsiteY8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143013 w 715067"/>
                <a:gd name="connsiteY4" fmla="*/ 476249 h 476250"/>
                <a:gd name="connsiteX5" fmla="*/ 286027 w 715067"/>
                <a:gd name="connsiteY5" fmla="*/ 238125 h 476250"/>
                <a:gd name="connsiteX6" fmla="*/ 0 w 715067"/>
                <a:gd name="connsiteY6" fmla="*/ 0 h 476250"/>
                <a:gd name="connsiteX7" fmla="*/ 143013 w 715067"/>
                <a:gd name="connsiteY7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286027 w 715067"/>
                <a:gd name="connsiteY4" fmla="*/ 238125 h 476250"/>
                <a:gd name="connsiteX5" fmla="*/ 0 w 715067"/>
                <a:gd name="connsiteY5" fmla="*/ 0 h 476250"/>
                <a:gd name="connsiteX6" fmla="*/ 143013 w 715067"/>
                <a:gd name="connsiteY6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286027 w 715067"/>
                <a:gd name="connsiteY3" fmla="*/ 238125 h 476250"/>
                <a:gd name="connsiteX4" fmla="*/ 0 w 715067"/>
                <a:gd name="connsiteY4" fmla="*/ 0 h 476250"/>
                <a:gd name="connsiteX5" fmla="*/ 143013 w 715067"/>
                <a:gd name="connsiteY5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0 w 715067"/>
                <a:gd name="connsiteY3" fmla="*/ 0 h 476250"/>
                <a:gd name="connsiteX4" fmla="*/ 143013 w 715067"/>
                <a:gd name="connsiteY4" fmla="*/ 0 h 476250"/>
                <a:gd name="connsiteX0" fmla="*/ 71507 w 643561"/>
                <a:gd name="connsiteY0" fmla="*/ 0 h 476250"/>
                <a:gd name="connsiteX1" fmla="*/ 643561 w 643561"/>
                <a:gd name="connsiteY1" fmla="*/ 476250 h 476250"/>
                <a:gd name="connsiteX2" fmla="*/ 500547 w 643561"/>
                <a:gd name="connsiteY2" fmla="*/ 476249 h 476250"/>
                <a:gd name="connsiteX3" fmla="*/ 0 w 643561"/>
                <a:gd name="connsiteY3" fmla="*/ 59532 h 476250"/>
                <a:gd name="connsiteX4" fmla="*/ 71507 w 643561"/>
                <a:gd name="connsiteY4" fmla="*/ 0 h 476250"/>
                <a:gd name="connsiteX0" fmla="*/ 71507 w 572054"/>
                <a:gd name="connsiteY0" fmla="*/ 0 h 476249"/>
                <a:gd name="connsiteX1" fmla="*/ 572054 w 572054"/>
                <a:gd name="connsiteY1" fmla="*/ 416718 h 476249"/>
                <a:gd name="connsiteX2" fmla="*/ 500547 w 572054"/>
                <a:gd name="connsiteY2" fmla="*/ 476249 h 476249"/>
                <a:gd name="connsiteX3" fmla="*/ 0 w 572054"/>
                <a:gd name="connsiteY3" fmla="*/ 59532 h 476249"/>
                <a:gd name="connsiteX4" fmla="*/ 71507 w 572054"/>
                <a:gd name="connsiteY4" fmla="*/ 0 h 476249"/>
                <a:gd name="connsiteX0" fmla="*/ 71507 w 572054"/>
                <a:gd name="connsiteY0" fmla="*/ 0 h 476249"/>
                <a:gd name="connsiteX1" fmla="*/ 303904 w 572054"/>
                <a:gd name="connsiteY1" fmla="*/ 189755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460325 w 572054"/>
                <a:gd name="connsiteY2" fmla="*/ 319980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5753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84349 w 572054"/>
                <a:gd name="connsiteY2" fmla="*/ 200918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49708 w 572054"/>
                <a:gd name="connsiteY3" fmla="*/ 182314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67585 w 572054"/>
                <a:gd name="connsiteY5" fmla="*/ 290214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357534 w 572054"/>
                <a:gd name="connsiteY5" fmla="*/ 238125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14521 w 572054"/>
                <a:gd name="connsiteY7" fmla="*/ 238125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406695 w 572054"/>
                <a:gd name="connsiteY7" fmla="*/ 386952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1 w 572054"/>
                <a:gd name="connsiteY7" fmla="*/ 416718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99435 w 572054"/>
                <a:gd name="connsiteY7" fmla="*/ 450204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71507 w 572054"/>
                <a:gd name="connsiteY7" fmla="*/ 476249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326250 w 572054"/>
                <a:gd name="connsiteY7" fmla="*/ 476249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86027 w 572054"/>
                <a:gd name="connsiteY7" fmla="*/ 297656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572054" h="476249">
                  <a:moveTo>
                    <a:pt x="71507" y="0"/>
                  </a:moveTo>
                  <a:lnTo>
                    <a:pt x="286027" y="178593"/>
                  </a:lnTo>
                  <a:lnTo>
                    <a:pt x="500547" y="0"/>
                  </a:lnTo>
                  <a:lnTo>
                    <a:pt x="572054" y="59531"/>
                  </a:lnTo>
                  <a:lnTo>
                    <a:pt x="357534" y="238125"/>
                  </a:lnTo>
                  <a:lnTo>
                    <a:pt x="572054" y="416718"/>
                  </a:lnTo>
                  <a:lnTo>
                    <a:pt x="500547" y="476249"/>
                  </a:lnTo>
                  <a:lnTo>
                    <a:pt x="286027" y="297656"/>
                  </a:lnTo>
                  <a:lnTo>
                    <a:pt x="71507" y="476249"/>
                  </a:lnTo>
                  <a:lnTo>
                    <a:pt x="1" y="416718"/>
                  </a:lnTo>
                  <a:lnTo>
                    <a:pt x="214521" y="238125"/>
                  </a:lnTo>
                  <a:lnTo>
                    <a:pt x="0" y="59532"/>
                  </a:lnTo>
                  <a:lnTo>
                    <a:pt x="71507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2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1152" name="invite_button#spriteTOP" title="invite_button#sprite">
            <a:extLst>
              <a:ext uri="{FF2B5EF4-FFF2-40B4-BE49-F238E27FC236}">
                <a16:creationId xmlns:a16="http://schemas.microsoft.com/office/drawing/2014/main" id="{1548E0A9-B627-4F57-B4BA-4168DB181DC3}"/>
              </a:ext>
            </a:extLst>
          </xdr:cNvPr>
          <xdr:cNvGrpSpPr/>
        </xdr:nvGrpSpPr>
        <xdr:grpSpPr>
          <a:xfrm>
            <a:off x="9429750" y="8191500"/>
            <a:ext cx="2286000" cy="762000"/>
            <a:chOff x="20478750" y="9048750"/>
            <a:chExt cx="2286000" cy="762000"/>
          </a:xfrm>
        </xdr:grpSpPr>
        <xdr:sp macro="" textlink="">
          <xdr:nvSpPr>
            <xdr:cNvPr id="1154" name="invite_button#sprite" descr="objects[obj_name].x=$x;&#10;objects[obj_name].y=$y;&#10;objects[obj_name].width=$w;&#10;objects[obj_name].height=$h;&#10;objects[obj_name].interactive=true;&#10;objects[obj_name].buttonMode=true;&#10;objects[obj_name].pointerdown=function(){cards_menu.send_invite()};&#10;objects[obj_name].pointerover=function(){this.tint=0x444444};&#10;objects[obj_name].pointerout=function(){this.tint=this.base_tint};&#10;objects[obj_name].base_tint=objects[obj_name].tint;##png#1.5" title="invite_button#sprite">
              <a:extLst>
                <a:ext uri="{FF2B5EF4-FFF2-40B4-BE49-F238E27FC236}">
                  <a16:creationId xmlns:a16="http://schemas.microsoft.com/office/drawing/2014/main" id="{8034A580-6BB5-4052-B8FD-8A31DDC997DF}"/>
                </a:ext>
              </a:extLst>
            </xdr:cNvPr>
            <xdr:cNvSpPr/>
          </xdr:nvSpPr>
          <xdr:spPr>
            <a:xfrm>
              <a:off x="20478750" y="9048750"/>
              <a:ext cx="2286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155" name="object">
              <a:extLst>
                <a:ext uri="{FF2B5EF4-FFF2-40B4-BE49-F238E27FC236}">
                  <a16:creationId xmlns:a16="http://schemas.microsoft.com/office/drawing/2014/main" id="{0C81681B-A7FA-46FB-A011-D64A74E65681}"/>
                </a:ext>
              </a:extLst>
            </xdr:cNvPr>
            <xdr:cNvSpPr/>
          </xdr:nvSpPr>
          <xdr:spPr>
            <a:xfrm>
              <a:off x="20574000" y="9144000"/>
              <a:ext cx="2095500" cy="571500"/>
            </a:xfrm>
            <a:prstGeom prst="roundRect">
              <a:avLst>
                <a:gd name="adj" fmla="val 21667"/>
              </a:avLst>
            </a:prstGeom>
            <a:solidFill>
              <a:srgbClr val="9A750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2800" b="0" i="0" u="none" strike="noStrike" kern="0" cap="none" spc="0" normalizeH="0" baseline="0" noProof="0">
                <a:ln>
                  <a:noFill/>
                </a:ln>
                <a:solidFill>
                  <a:prstClr val="white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Times New Roman" panose="02020603050405020304" pitchFamily="18" charset="0"/>
                <a:ea typeface="Yahfie" pitchFamily="2" charset="-128"/>
                <a:cs typeface="Times New Roman" panose="02020603050405020304" pitchFamily="18" charset="0"/>
              </a:endParaRPr>
            </a:p>
            <a:p>
              <a:pPr algn="l"/>
              <a:endParaRPr lang="ru-RU" sz="11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1153" name="invite_button_title#block" descr="objects[obj_name]=new PIXI.BitmapText(['Пригласить','Invite'][LANG], {fontName: 'mfont',fontSize: $font_size,align: 'center'});&#10;objects[obj_name].anchor.set(0.5,0);&#10;objects[obj_name].x=$x;&#10;objects[obj_name].y=$y;&#10;objects[obj_name].base_tint=objects[obj_name].tint=$t_col;##png#1" title="invite_name#block">
            <a:extLst>
              <a:ext uri="{FF2B5EF4-FFF2-40B4-BE49-F238E27FC236}">
                <a16:creationId xmlns:a16="http://schemas.microsoft.com/office/drawing/2014/main" id="{01A3CBF2-69AC-4AC5-82E9-118D5121B492}"/>
              </a:ext>
            </a:extLst>
          </xdr:cNvPr>
          <xdr:cNvSpPr/>
        </xdr:nvSpPr>
        <xdr:spPr>
          <a:xfrm>
            <a:off x="9620250" y="8448675"/>
            <a:ext cx="1905000" cy="2286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Пригласить</a:t>
            </a:r>
          </a:p>
        </xdr:txBody>
      </xdr:sp>
    </xdr:grpSp>
    <xdr:clientData/>
  </xdr:twoCellAnchor>
  <xdr:twoCellAnchor>
    <xdr:from>
      <xdr:col>148</xdr:col>
      <xdr:colOff>57150</xdr:colOff>
      <xdr:row>145</xdr:row>
      <xdr:rowOff>57150</xdr:rowOff>
    </xdr:from>
    <xdr:to>
      <xdr:col>164</xdr:col>
      <xdr:colOff>38100</xdr:colOff>
      <xdr:row>155</xdr:row>
      <xdr:rowOff>0</xdr:rowOff>
    </xdr:to>
    <xdr:grpSp>
      <xdr:nvGrpSpPr>
        <xdr:cNvPr id="1161" name="sbgb_cont#contTOP">
          <a:extLst>
            <a:ext uri="{FF2B5EF4-FFF2-40B4-BE49-F238E27FC236}">
              <a16:creationId xmlns:a16="http://schemas.microsoft.com/office/drawing/2014/main" id="{459B4854-4D4C-4521-A08C-1DDFBD9020D6}"/>
            </a:ext>
          </a:extLst>
        </xdr:cNvPr>
        <xdr:cNvGrpSpPr/>
      </xdr:nvGrpSpPr>
      <xdr:grpSpPr>
        <a:xfrm>
          <a:off x="14154150" y="13868400"/>
          <a:ext cx="1504950" cy="895350"/>
          <a:chOff x="14954250" y="9239250"/>
          <a:chExt cx="1809750" cy="1085850"/>
        </a:xfrm>
      </xdr:grpSpPr>
      <xdr:grpSp>
        <xdr:nvGrpSpPr>
          <xdr:cNvPr id="1162" name="sbgb_bcg#spriteTOP" title="sbgb_bcg#sprite">
            <a:extLst>
              <a:ext uri="{FF2B5EF4-FFF2-40B4-BE49-F238E27FC236}">
                <a16:creationId xmlns:a16="http://schemas.microsoft.com/office/drawing/2014/main" id="{6CBE1781-1DEB-474F-B27F-8E827AD32C12}"/>
              </a:ext>
            </a:extLst>
          </xdr:cNvPr>
          <xdr:cNvGrpSpPr/>
        </xdr:nvGrpSpPr>
        <xdr:grpSpPr>
          <a:xfrm>
            <a:off x="15049500" y="9334500"/>
            <a:ext cx="1619250" cy="666749"/>
            <a:chOff x="15201900" y="9486900"/>
            <a:chExt cx="1619250" cy="666749"/>
          </a:xfrm>
        </xdr:grpSpPr>
        <xdr:sp macro="" textlink="">
          <xdr:nvSpPr>
            <xdr:cNvPr id="1165" name="sbgb_bcg#sprite" descr="objects[obj_name].buttonMode=true;&#10;objects[obj_name].interactive=true;&#10;objects[obj_name].pointerdown=function(){game.stop('my_stop')};&#10;objects[obj_name].pointerover=function(){this.tint=0x66ffff};&#10;objects[obj_name].pointerout=function(){this.tint=this.base_tint};&#10;objects[obj_name].x=$x;&#10;objects[obj_name].y=$y;&#10;objects[obj_name].width=$w;&#10;objects[obj_name].height=$h;&#10;objects[obj_name].base_tint=objects[obj_name].tint;&#10;##png#1.5" title="stop_bot_button#sprite">
              <a:extLst>
                <a:ext uri="{FF2B5EF4-FFF2-40B4-BE49-F238E27FC236}">
                  <a16:creationId xmlns:a16="http://schemas.microsoft.com/office/drawing/2014/main" id="{EFA5E979-A6BD-4E4C-A825-90487A95C225}"/>
                </a:ext>
              </a:extLst>
            </xdr:cNvPr>
            <xdr:cNvSpPr/>
          </xdr:nvSpPr>
          <xdr:spPr>
            <a:xfrm>
              <a:off x="15201900" y="9486900"/>
              <a:ext cx="1619250" cy="666749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166" name="Прямоугольник: скругленные углы 1165">
              <a:extLst>
                <a:ext uri="{FF2B5EF4-FFF2-40B4-BE49-F238E27FC236}">
                  <a16:creationId xmlns:a16="http://schemas.microsoft.com/office/drawing/2014/main" id="{95AA4E8C-C793-4FF4-950F-E5EF0625CBB6}"/>
                </a:ext>
              </a:extLst>
            </xdr:cNvPr>
            <xdr:cNvSpPr/>
          </xdr:nvSpPr>
          <xdr:spPr>
            <a:xfrm>
              <a:off x="15297150" y="9582151"/>
              <a:ext cx="1428750" cy="476249"/>
            </a:xfrm>
            <a:prstGeom prst="roundRect">
              <a:avLst/>
            </a:prstGeom>
            <a:solidFill>
              <a:schemeClr val="bg2">
                <a:lumMod val="75000"/>
              </a:schemeClr>
            </a:solidFill>
            <a:ln>
              <a:noFill/>
            </a:ln>
            <a:effectLst>
              <a:outerShdw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163" name="sbgb_cont#cont" descr="objects[obj_name]=new PIXI.Container();&#10;objects[obj_name].ready=true;&#10;objects[obj_name].visible=false;&#10;objects[obj_name].sx=objects[obj_name].x=$x;&#10;objects[obj_name].sy=objects[obj_name].y=$y;&#10;#objects[obj_name].addChild(objects.sbgb_bcg);&#10;objects[obj_name].addChild(objects.sbgb_title);&#10;app.stage.addChild(objects[obj_name]);&#10;&#10;#png" title="game_buttons_cont#cont">
            <a:extLst>
              <a:ext uri="{FF2B5EF4-FFF2-40B4-BE49-F238E27FC236}">
                <a16:creationId xmlns:a16="http://schemas.microsoft.com/office/drawing/2014/main" id="{97BFFF9D-09D7-471E-8883-9A84CED3CFAF}"/>
              </a:ext>
            </a:extLst>
          </xdr:cNvPr>
          <xdr:cNvSpPr/>
        </xdr:nvSpPr>
        <xdr:spPr>
          <a:xfrm>
            <a:off x="14954250" y="9239250"/>
            <a:ext cx="1809750" cy="10858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1164" name="sbgb_title#block" descr="objects[obj_name]=new PIXI.BitmapText(['Завершить','Stop'][LANG], {fontName: 'mfont',fontSize: $font_size,align: 'center'});&#10;objects[obj_name].anchor.set(0.5,0.5);&#10;objects[obj_name].x=$x;&#10;objects[obj_name].y=$y;&#10;objects[obj_name].maxWidth=$w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407352F6-B643-45FA-A70A-03BF80780C2F}"/>
              </a:ext>
            </a:extLst>
          </xdr:cNvPr>
          <xdr:cNvSpPr/>
        </xdr:nvSpPr>
        <xdr:spPr>
          <a:xfrm>
            <a:off x="15144750" y="9525000"/>
            <a:ext cx="142875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200" b="1" cap="none" spc="0">
                <a:ln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/>
                <a:latin typeface="Century Gothic" panose="020B0502020202020204" pitchFamily="34" charset="0"/>
              </a:rPr>
              <a:t>Завершить</a:t>
            </a:r>
          </a:p>
        </xdr:txBody>
      </xdr:sp>
    </xdr:grpSp>
    <xdr:clientData/>
  </xdr:twoCellAnchor>
  <xdr:twoCellAnchor>
    <xdr:from>
      <xdr:col>8</xdr:col>
      <xdr:colOff>0</xdr:colOff>
      <xdr:row>137</xdr:row>
      <xdr:rowOff>0</xdr:rowOff>
    </xdr:from>
    <xdr:to>
      <xdr:col>28</xdr:col>
      <xdr:colOff>0</xdr:colOff>
      <xdr:row>159</xdr:row>
      <xdr:rowOff>0</xdr:rowOff>
    </xdr:to>
    <xdr:grpSp>
      <xdr:nvGrpSpPr>
        <xdr:cNvPr id="1167" name="message_cont#contTOP">
          <a:extLst>
            <a:ext uri="{FF2B5EF4-FFF2-40B4-BE49-F238E27FC236}">
              <a16:creationId xmlns:a16="http://schemas.microsoft.com/office/drawing/2014/main" id="{27161C9B-43B3-449C-A6FE-F56493BC8E29}"/>
            </a:ext>
          </a:extLst>
        </xdr:cNvPr>
        <xdr:cNvGrpSpPr/>
      </xdr:nvGrpSpPr>
      <xdr:grpSpPr>
        <a:xfrm>
          <a:off x="762000" y="13049250"/>
          <a:ext cx="1905000" cy="2095500"/>
          <a:chOff x="762000" y="7905750"/>
          <a:chExt cx="1905000" cy="2095500"/>
        </a:xfrm>
      </xdr:grpSpPr>
      <xdr:grpSp>
        <xdr:nvGrpSpPr>
          <xdr:cNvPr id="1168" name="message_bcg#spriteTOP" title="message_bcg#sprite">
            <a:extLst>
              <a:ext uri="{FF2B5EF4-FFF2-40B4-BE49-F238E27FC236}">
                <a16:creationId xmlns:a16="http://schemas.microsoft.com/office/drawing/2014/main" id="{D0FD967E-91F8-42D8-A3D7-F24CEF17BD91}"/>
              </a:ext>
            </a:extLst>
          </xdr:cNvPr>
          <xdr:cNvGrpSpPr/>
        </xdr:nvGrpSpPr>
        <xdr:grpSpPr>
          <a:xfrm>
            <a:off x="857250" y="8096250"/>
            <a:ext cx="1714500" cy="1619250"/>
            <a:chOff x="4381500" y="9810750"/>
            <a:chExt cx="1714500" cy="1619250"/>
          </a:xfrm>
        </xdr:grpSpPr>
        <xdr:sp macro="" textlink="">
          <xdr:nvSpPr>
            <xdr:cNvPr id="1171" name="object">
              <a:extLst>
                <a:ext uri="{FF2B5EF4-FFF2-40B4-BE49-F238E27FC236}">
                  <a16:creationId xmlns:a16="http://schemas.microsoft.com/office/drawing/2014/main" id="{7D01E202-E864-4881-8185-D7E02E84A02B}"/>
                </a:ext>
              </a:extLst>
            </xdr:cNvPr>
            <xdr:cNvSpPr/>
          </xdr:nvSpPr>
          <xdr:spPr>
            <a:xfrm>
              <a:off x="4476750" y="9906000"/>
              <a:ext cx="1524000" cy="1209675"/>
            </a:xfrm>
            <a:prstGeom prst="wedgeRectCallout">
              <a:avLst>
                <a:gd name="adj1" fmla="val -27976"/>
                <a:gd name="adj2" fmla="val 65577"/>
              </a:avLst>
            </a:prstGeom>
            <a:solidFill>
              <a:srgbClr val="365C5B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72" name="message_bcg#sprite" descr="objects[obj_name].x=$x;&#10;objects[obj_name].y=$y;&#10;objects[obj_name].width=$w;&#10;objects[obj_name].height=$h;&#10;objects[obj_name].base_tint=objects[obj_name].tint;##png#1.5" title="message_bcg#sprite">
              <a:extLst>
                <a:ext uri="{FF2B5EF4-FFF2-40B4-BE49-F238E27FC236}">
                  <a16:creationId xmlns:a16="http://schemas.microsoft.com/office/drawing/2014/main" id="{D83A2C18-84A2-4D7E-9650-F61BC9F918EF}"/>
                </a:ext>
              </a:extLst>
            </xdr:cNvPr>
            <xdr:cNvSpPr/>
          </xdr:nvSpPr>
          <xdr:spPr>
            <a:xfrm>
              <a:off x="4381500" y="9810750"/>
              <a:ext cx="1714500" cy="1619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169" name="message_text#block" descr="objects[obj_name]=new PIXI.BitmapText('', {fontName: 'mfont',fontSize: 20,align: 'center'});&#10;objects[obj_name].anchor.set(0.5,0,5);&#10;objects[obj_name].maxWidth=150;&#10;objects[obj_name].x=$x;&#10;objects[obj_name].y=$y;&#10;objects[obj_name].base_tint=objects[obj_name].tint=$t_col;#&#10;&#10;#png" title="message_text#block">
            <a:extLst>
              <a:ext uri="{FF2B5EF4-FFF2-40B4-BE49-F238E27FC236}">
                <a16:creationId xmlns:a16="http://schemas.microsoft.com/office/drawing/2014/main" id="{2C3C17DB-34A8-4B6F-9045-0E09CEE9D374}"/>
              </a:ext>
            </a:extLst>
          </xdr:cNvPr>
          <xdr:cNvSpPr/>
        </xdr:nvSpPr>
        <xdr:spPr>
          <a:xfrm>
            <a:off x="1238250" y="8286750"/>
            <a:ext cx="952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entury Gothic" panose="020B0502020202020204" pitchFamily="34" charset="0"/>
              </a:rPr>
              <a:t>сообщ</a:t>
            </a:r>
          </a:p>
        </xdr:txBody>
      </xdr:sp>
      <xdr:sp macro="" textlink="">
        <xdr:nvSpPr>
          <xdr:cNvPr id="1170" name="message_cont#cont" descr="objects[obj_name]=new PIXI.Container();&#10;objects[obj_name].visible=false;&#10;objects[obj_name].sx=objects[obj_name].x=0;&#10;objects[obj_name].sy=objects[obj_name].y=220;&#10;objects[obj_name].show=function(){this.children.forEach(c=&gt;{c.alpha=1;c.tint=c.base_tint})};#objects[obj_name].addChild(objects.message_bcg);&#10;objects[obj_name].addChild(objects.message_text);&#10;app.stage.addChild(objects[obj_name]);&#10;#png" title="message_cont#cont">
            <a:extLst>
              <a:ext uri="{FF2B5EF4-FFF2-40B4-BE49-F238E27FC236}">
                <a16:creationId xmlns:a16="http://schemas.microsoft.com/office/drawing/2014/main" id="{20C728E6-E11F-4A57-BD5A-34A3858CC1EE}"/>
              </a:ext>
            </a:extLst>
          </xdr:cNvPr>
          <xdr:cNvSpPr/>
        </xdr:nvSpPr>
        <xdr:spPr>
          <a:xfrm>
            <a:off x="762000" y="7905750"/>
            <a:ext cx="190500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96</xdr:col>
      <xdr:colOff>0</xdr:colOff>
      <xdr:row>171</xdr:row>
      <xdr:rowOff>47625</xdr:rowOff>
    </xdr:from>
    <xdr:to>
      <xdr:col>116</xdr:col>
      <xdr:colOff>0</xdr:colOff>
      <xdr:row>181</xdr:row>
      <xdr:rowOff>47625</xdr:rowOff>
    </xdr:to>
    <xdr:grpSp>
      <xdr:nvGrpSpPr>
        <xdr:cNvPr id="1173" name="mini_player_card_table#imageTOP" title="mini_player_card_table#image">
          <a:extLst>
            <a:ext uri="{FF2B5EF4-FFF2-40B4-BE49-F238E27FC236}">
              <a16:creationId xmlns:a16="http://schemas.microsoft.com/office/drawing/2014/main" id="{1A551567-9846-4BC7-A65F-F90AE5134FAE}"/>
            </a:ext>
          </a:extLst>
        </xdr:cNvPr>
        <xdr:cNvGrpSpPr/>
      </xdr:nvGrpSpPr>
      <xdr:grpSpPr>
        <a:xfrm>
          <a:off x="9144000" y="16335375"/>
          <a:ext cx="1905000" cy="952500"/>
          <a:chOff x="9239250" y="17145000"/>
          <a:chExt cx="1905000" cy="952500"/>
        </a:xfrm>
      </xdr:grpSpPr>
      <xdr:sp macro="" textlink="">
        <xdr:nvSpPr>
          <xdr:cNvPr id="1174" name="object">
            <a:extLst>
              <a:ext uri="{FF2B5EF4-FFF2-40B4-BE49-F238E27FC236}">
                <a16:creationId xmlns:a16="http://schemas.microsoft.com/office/drawing/2014/main" id="{8CDB5278-EBC2-474B-91F1-11DF3A39F2DF}"/>
              </a:ext>
            </a:extLst>
          </xdr:cNvPr>
          <xdr:cNvSpPr/>
        </xdr:nvSpPr>
        <xdr:spPr>
          <a:xfrm>
            <a:off x="9334500" y="17240250"/>
            <a:ext cx="1714500" cy="762000"/>
          </a:xfrm>
          <a:prstGeom prst="roundRect">
            <a:avLst>
              <a:gd name="adj" fmla="val 1041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75" name="mini_player_card_table#image" descr="Кода нет, это картинка#Кода нет, это картинка#png#1.5" title="mini_player_card_table#image">
            <a:extLst>
              <a:ext uri="{FF2B5EF4-FFF2-40B4-BE49-F238E27FC236}">
                <a16:creationId xmlns:a16="http://schemas.microsoft.com/office/drawing/2014/main" id="{55F79399-DBAD-414E-924B-A646C4EF149A}"/>
              </a:ext>
            </a:extLst>
          </xdr:cNvPr>
          <xdr:cNvSpPr/>
        </xdr:nvSpPr>
        <xdr:spPr>
          <a:xfrm>
            <a:off x="9239250" y="1714500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76" name="object">
            <a:extLst>
              <a:ext uri="{FF2B5EF4-FFF2-40B4-BE49-F238E27FC236}">
                <a16:creationId xmlns:a16="http://schemas.microsoft.com/office/drawing/2014/main" id="{A771FEC5-7A64-4ACA-AB09-FDD861C8569A}"/>
              </a:ext>
            </a:extLst>
          </xdr:cNvPr>
          <xdr:cNvSpPr/>
        </xdr:nvSpPr>
        <xdr:spPr>
          <a:xfrm>
            <a:off x="9429751" y="17335501"/>
            <a:ext cx="571499" cy="571499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177" name="object">
            <a:extLst>
              <a:ext uri="{FF2B5EF4-FFF2-40B4-BE49-F238E27FC236}">
                <a16:creationId xmlns:a16="http://schemas.microsoft.com/office/drawing/2014/main" id="{A98570B5-0113-4161-AF00-BAC2F106EE63}"/>
              </a:ext>
            </a:extLst>
          </xdr:cNvPr>
          <xdr:cNvSpPr/>
        </xdr:nvSpPr>
        <xdr:spPr>
          <a:xfrm>
            <a:off x="10382251" y="17335500"/>
            <a:ext cx="571500" cy="571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96</xdr:col>
      <xdr:colOff>0</xdr:colOff>
      <xdr:row>182</xdr:row>
      <xdr:rowOff>47625</xdr:rowOff>
    </xdr:from>
    <xdr:to>
      <xdr:col>116</xdr:col>
      <xdr:colOff>0</xdr:colOff>
      <xdr:row>192</xdr:row>
      <xdr:rowOff>47625</xdr:rowOff>
    </xdr:to>
    <xdr:grpSp>
      <xdr:nvGrpSpPr>
        <xdr:cNvPr id="1178" name="rating_bcg#imageTOP" title="rating_bcg#image">
          <a:extLst>
            <a:ext uri="{FF2B5EF4-FFF2-40B4-BE49-F238E27FC236}">
              <a16:creationId xmlns:a16="http://schemas.microsoft.com/office/drawing/2014/main" id="{53183DE8-E817-4259-A451-03158F2CBA30}"/>
            </a:ext>
          </a:extLst>
        </xdr:cNvPr>
        <xdr:cNvGrpSpPr/>
      </xdr:nvGrpSpPr>
      <xdr:grpSpPr>
        <a:xfrm>
          <a:off x="9144000" y="17383125"/>
          <a:ext cx="1905000" cy="952500"/>
          <a:chOff x="8667750" y="18573750"/>
          <a:chExt cx="1905000" cy="952500"/>
        </a:xfrm>
      </xdr:grpSpPr>
      <xdr:sp macro="" textlink="">
        <xdr:nvSpPr>
          <xdr:cNvPr id="1179" name="rating_bcg#image" descr="Кода нет, это картинка#Кода нет, это картинка#png#1.5" title="rating_bcg#image">
            <a:extLst>
              <a:ext uri="{FF2B5EF4-FFF2-40B4-BE49-F238E27FC236}">
                <a16:creationId xmlns:a16="http://schemas.microsoft.com/office/drawing/2014/main" id="{020AEE1F-F375-4210-8FE8-86E2ED895BBD}"/>
              </a:ext>
            </a:extLst>
          </xdr:cNvPr>
          <xdr:cNvSpPr/>
        </xdr:nvSpPr>
        <xdr:spPr>
          <a:xfrm>
            <a:off x="8667750" y="185737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80" name="object">
            <a:extLst>
              <a:ext uri="{FF2B5EF4-FFF2-40B4-BE49-F238E27FC236}">
                <a16:creationId xmlns:a16="http://schemas.microsoft.com/office/drawing/2014/main" id="{A08CD9CF-1A12-487A-816F-1159939BEC5B}"/>
              </a:ext>
            </a:extLst>
          </xdr:cNvPr>
          <xdr:cNvSpPr/>
        </xdr:nvSpPr>
        <xdr:spPr>
          <a:xfrm>
            <a:off x="8938460" y="19254537"/>
            <a:ext cx="432000" cy="144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1">
                  <a:lumMod val="75000"/>
                </a:schemeClr>
              </a:gs>
              <a:gs pos="99000">
                <a:schemeClr val="accent1">
                  <a:lumMod val="75000"/>
                  <a:alpha val="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 b="1">
              <a:solidFill>
                <a:schemeClr val="bg2">
                  <a:lumMod val="75000"/>
                </a:scheme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1181" name="object">
            <a:extLst>
              <a:ext uri="{FF2B5EF4-FFF2-40B4-BE49-F238E27FC236}">
                <a16:creationId xmlns:a16="http://schemas.microsoft.com/office/drawing/2014/main" id="{EB64594F-4560-46BC-BB1D-49EE542F3294}"/>
              </a:ext>
            </a:extLst>
          </xdr:cNvPr>
          <xdr:cNvSpPr/>
        </xdr:nvSpPr>
        <xdr:spPr>
          <a:xfrm>
            <a:off x="9873916" y="19249524"/>
            <a:ext cx="432000" cy="144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1">
                  <a:lumMod val="75000"/>
                </a:schemeClr>
              </a:gs>
              <a:gs pos="99000">
                <a:schemeClr val="accent1">
                  <a:lumMod val="75000"/>
                  <a:alpha val="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 b="1">
              <a:solidFill>
                <a:schemeClr val="bg2">
                  <a:lumMod val="75000"/>
                </a:scheme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  <xdr:twoCellAnchor>
    <xdr:from>
      <xdr:col>147</xdr:col>
      <xdr:colOff>0</xdr:colOff>
      <xdr:row>188</xdr:row>
      <xdr:rowOff>92529</xdr:rowOff>
    </xdr:from>
    <xdr:to>
      <xdr:col>157</xdr:col>
      <xdr:colOff>0</xdr:colOff>
      <xdr:row>199</xdr:row>
      <xdr:rowOff>0</xdr:rowOff>
    </xdr:to>
    <xdr:grpSp>
      <xdr:nvGrpSpPr>
        <xdr:cNvPr id="1182" name="avatar_mask#imageTOP" title="avatar_mask#image">
          <a:extLst>
            <a:ext uri="{FF2B5EF4-FFF2-40B4-BE49-F238E27FC236}">
              <a16:creationId xmlns:a16="http://schemas.microsoft.com/office/drawing/2014/main" id="{0747DF12-0871-4D82-8279-443A9C6FEEB7}"/>
            </a:ext>
          </a:extLst>
        </xdr:cNvPr>
        <xdr:cNvGrpSpPr/>
      </xdr:nvGrpSpPr>
      <xdr:grpSpPr>
        <a:xfrm>
          <a:off x="14001750" y="17999529"/>
          <a:ext cx="952500" cy="955221"/>
          <a:chOff x="13525500" y="9810750"/>
          <a:chExt cx="952500" cy="955221"/>
        </a:xfrm>
      </xdr:grpSpPr>
      <xdr:sp macro="" textlink="">
        <xdr:nvSpPr>
          <xdr:cNvPr id="1183" name="object">
            <a:extLst>
              <a:ext uri="{FF2B5EF4-FFF2-40B4-BE49-F238E27FC236}">
                <a16:creationId xmlns:a16="http://schemas.microsoft.com/office/drawing/2014/main" id="{904A6BFB-E52B-47AD-8E88-FE54772477D3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custGeom>
            <a:avLst/>
            <a:gdLst>
              <a:gd name="connsiteX0" fmla="*/ 2006866 w 3996063"/>
              <a:gd name="connsiteY0" fmla="*/ 100711 h 4436533"/>
              <a:gd name="connsiteX1" fmla="*/ 1777549 w 3996063"/>
              <a:gd name="connsiteY1" fmla="*/ 162094 h 4436533"/>
              <a:gd name="connsiteX2" fmla="*/ 330022 w 3996063"/>
              <a:gd name="connsiteY2" fmla="*/ 997781 h 4436533"/>
              <a:gd name="connsiteX3" fmla="*/ 100706 w 3996063"/>
              <a:gd name="connsiteY3" fmla="*/ 1395053 h 4436533"/>
              <a:gd name="connsiteX4" fmla="*/ 100706 w 3996063"/>
              <a:gd name="connsiteY4" fmla="*/ 3066690 h 4436533"/>
              <a:gd name="connsiteX5" fmla="*/ 330022 w 3996063"/>
              <a:gd name="connsiteY5" fmla="*/ 3463896 h 4436533"/>
              <a:gd name="connsiteX6" fmla="*/ 1777550 w 3996063"/>
              <a:gd name="connsiteY6" fmla="*/ 4299649 h 4436533"/>
              <a:gd name="connsiteX7" fmla="*/ 2236182 w 3996063"/>
              <a:gd name="connsiteY7" fmla="*/ 4299649 h 4436533"/>
              <a:gd name="connsiteX8" fmla="*/ 3683710 w 3996063"/>
              <a:gd name="connsiteY8" fmla="*/ 3463896 h 4436533"/>
              <a:gd name="connsiteX9" fmla="*/ 3913025 w 3996063"/>
              <a:gd name="connsiteY9" fmla="*/ 3066690 h 4436533"/>
              <a:gd name="connsiteX10" fmla="*/ 3913025 w 3996063"/>
              <a:gd name="connsiteY10" fmla="*/ 1395053 h 4436533"/>
              <a:gd name="connsiteX11" fmla="*/ 3683710 w 3996063"/>
              <a:gd name="connsiteY11" fmla="*/ 997781 h 4436533"/>
              <a:gd name="connsiteX12" fmla="*/ 2236182 w 3996063"/>
              <a:gd name="connsiteY12" fmla="*/ 162094 h 4436533"/>
              <a:gd name="connsiteX13" fmla="*/ 2006866 w 3996063"/>
              <a:gd name="connsiteY13" fmla="*/ 100711 h 44365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996063" h="4436533">
                <a:moveTo>
                  <a:pt x="2006866" y="100711"/>
                </a:moveTo>
                <a:cubicBezTo>
                  <a:pt x="1926365" y="100695"/>
                  <a:pt x="1847278" y="121865"/>
                  <a:pt x="1777549" y="162094"/>
                </a:cubicBezTo>
                <a:cubicBezTo>
                  <a:pt x="1295040" y="440657"/>
                  <a:pt x="812531" y="719219"/>
                  <a:pt x="330022" y="997781"/>
                </a:cubicBezTo>
                <a:cubicBezTo>
                  <a:pt x="188112" y="1079735"/>
                  <a:pt x="100698" y="1231172"/>
                  <a:pt x="100706" y="1395053"/>
                </a:cubicBezTo>
                <a:lnTo>
                  <a:pt x="100706" y="3066690"/>
                </a:lnTo>
                <a:cubicBezTo>
                  <a:pt x="100722" y="3230547"/>
                  <a:pt x="188133" y="3381954"/>
                  <a:pt x="330022" y="3463896"/>
                </a:cubicBezTo>
                <a:cubicBezTo>
                  <a:pt x="812531" y="3742480"/>
                  <a:pt x="1295040" y="4021064"/>
                  <a:pt x="1777550" y="4299649"/>
                </a:cubicBezTo>
                <a:cubicBezTo>
                  <a:pt x="1919455" y="4381564"/>
                  <a:pt x="2094276" y="4381564"/>
                  <a:pt x="2236182" y="4299649"/>
                </a:cubicBezTo>
                <a:cubicBezTo>
                  <a:pt x="2718691" y="4021064"/>
                  <a:pt x="3201200" y="3742480"/>
                  <a:pt x="3683710" y="3463896"/>
                </a:cubicBezTo>
                <a:cubicBezTo>
                  <a:pt x="3825599" y="3381954"/>
                  <a:pt x="3913009" y="3230547"/>
                  <a:pt x="3913025" y="3066690"/>
                </a:cubicBezTo>
                <a:lnTo>
                  <a:pt x="3913025" y="1395053"/>
                </a:lnTo>
                <a:cubicBezTo>
                  <a:pt x="3913033" y="1231172"/>
                  <a:pt x="3825619" y="1079735"/>
                  <a:pt x="3683710" y="997781"/>
                </a:cubicBezTo>
                <a:cubicBezTo>
                  <a:pt x="3201200" y="719219"/>
                  <a:pt x="2718691" y="440656"/>
                  <a:pt x="2236182" y="162094"/>
                </a:cubicBezTo>
                <a:cubicBezTo>
                  <a:pt x="2166453" y="121865"/>
                  <a:pt x="2087366" y="100695"/>
                  <a:pt x="2006866" y="100711"/>
                </a:cubicBezTo>
                <a:close/>
              </a:path>
            </a:pathLst>
          </a:custGeom>
          <a:solidFill>
            <a:srgbClr val="FF0000"/>
          </a:solidFill>
          <a:ln w="5715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184" name="avatar_mask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9B464313-5645-4A2D-9643-26D83A64645C}"/>
              </a:ext>
            </a:extLst>
          </xdr:cNvPr>
          <xdr:cNvSpPr/>
        </xdr:nvSpPr>
        <xdr:spPr>
          <a:xfrm>
            <a:off x="13525500" y="981075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134</xdr:col>
      <xdr:colOff>0</xdr:colOff>
      <xdr:row>189</xdr:row>
      <xdr:rowOff>0</xdr:rowOff>
    </xdr:from>
    <xdr:to>
      <xdr:col>146</xdr:col>
      <xdr:colOff>0</xdr:colOff>
      <xdr:row>201</xdr:row>
      <xdr:rowOff>0</xdr:rowOff>
    </xdr:to>
    <xdr:grpSp>
      <xdr:nvGrpSpPr>
        <xdr:cNvPr id="1185" name="avatar_frame#imageTOP" title="avatar_frame#image">
          <a:extLst>
            <a:ext uri="{FF2B5EF4-FFF2-40B4-BE49-F238E27FC236}">
              <a16:creationId xmlns:a16="http://schemas.microsoft.com/office/drawing/2014/main" id="{E8DC6EE2-43DB-4432-AE42-4C6E7FB63F4F}"/>
            </a:ext>
          </a:extLst>
        </xdr:cNvPr>
        <xdr:cNvGrpSpPr/>
      </xdr:nvGrpSpPr>
      <xdr:grpSpPr>
        <a:xfrm>
          <a:off x="12763500" y="18002250"/>
          <a:ext cx="1143000" cy="1143000"/>
          <a:chOff x="13430250" y="9715500"/>
          <a:chExt cx="1143000" cy="1143000"/>
        </a:xfrm>
      </xdr:grpSpPr>
      <xdr:sp macro="" textlink="">
        <xdr:nvSpPr>
          <xdr:cNvPr id="1186" name="object">
            <a:extLst>
              <a:ext uri="{FF2B5EF4-FFF2-40B4-BE49-F238E27FC236}">
                <a16:creationId xmlns:a16="http://schemas.microsoft.com/office/drawing/2014/main" id="{A998A740-6651-4B74-A7D2-B2C1CBA36AA6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custGeom>
            <a:avLst/>
            <a:gdLst>
              <a:gd name="connsiteX0" fmla="*/ 2006866 w 3996063"/>
              <a:gd name="connsiteY0" fmla="*/ 100711 h 4436533"/>
              <a:gd name="connsiteX1" fmla="*/ 1777549 w 3996063"/>
              <a:gd name="connsiteY1" fmla="*/ 162094 h 4436533"/>
              <a:gd name="connsiteX2" fmla="*/ 330022 w 3996063"/>
              <a:gd name="connsiteY2" fmla="*/ 997781 h 4436533"/>
              <a:gd name="connsiteX3" fmla="*/ 100706 w 3996063"/>
              <a:gd name="connsiteY3" fmla="*/ 1395053 h 4436533"/>
              <a:gd name="connsiteX4" fmla="*/ 100706 w 3996063"/>
              <a:gd name="connsiteY4" fmla="*/ 3066690 h 4436533"/>
              <a:gd name="connsiteX5" fmla="*/ 330022 w 3996063"/>
              <a:gd name="connsiteY5" fmla="*/ 3463896 h 4436533"/>
              <a:gd name="connsiteX6" fmla="*/ 1777550 w 3996063"/>
              <a:gd name="connsiteY6" fmla="*/ 4299649 h 4436533"/>
              <a:gd name="connsiteX7" fmla="*/ 2236182 w 3996063"/>
              <a:gd name="connsiteY7" fmla="*/ 4299649 h 4436533"/>
              <a:gd name="connsiteX8" fmla="*/ 3683710 w 3996063"/>
              <a:gd name="connsiteY8" fmla="*/ 3463896 h 4436533"/>
              <a:gd name="connsiteX9" fmla="*/ 3913025 w 3996063"/>
              <a:gd name="connsiteY9" fmla="*/ 3066690 h 4436533"/>
              <a:gd name="connsiteX10" fmla="*/ 3913025 w 3996063"/>
              <a:gd name="connsiteY10" fmla="*/ 1395053 h 4436533"/>
              <a:gd name="connsiteX11" fmla="*/ 3683710 w 3996063"/>
              <a:gd name="connsiteY11" fmla="*/ 997781 h 4436533"/>
              <a:gd name="connsiteX12" fmla="*/ 2236182 w 3996063"/>
              <a:gd name="connsiteY12" fmla="*/ 162094 h 4436533"/>
              <a:gd name="connsiteX13" fmla="*/ 2006866 w 3996063"/>
              <a:gd name="connsiteY13" fmla="*/ 100711 h 44365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996063" h="4436533">
                <a:moveTo>
                  <a:pt x="2006866" y="100711"/>
                </a:moveTo>
                <a:cubicBezTo>
                  <a:pt x="1926365" y="100695"/>
                  <a:pt x="1847278" y="121865"/>
                  <a:pt x="1777549" y="162094"/>
                </a:cubicBezTo>
                <a:cubicBezTo>
                  <a:pt x="1295040" y="440657"/>
                  <a:pt x="812531" y="719219"/>
                  <a:pt x="330022" y="997781"/>
                </a:cubicBezTo>
                <a:cubicBezTo>
                  <a:pt x="188112" y="1079735"/>
                  <a:pt x="100698" y="1231172"/>
                  <a:pt x="100706" y="1395053"/>
                </a:cubicBezTo>
                <a:lnTo>
                  <a:pt x="100706" y="3066690"/>
                </a:lnTo>
                <a:cubicBezTo>
                  <a:pt x="100722" y="3230547"/>
                  <a:pt x="188133" y="3381954"/>
                  <a:pt x="330022" y="3463896"/>
                </a:cubicBezTo>
                <a:cubicBezTo>
                  <a:pt x="812531" y="3742480"/>
                  <a:pt x="1295040" y="4021064"/>
                  <a:pt x="1777550" y="4299649"/>
                </a:cubicBezTo>
                <a:cubicBezTo>
                  <a:pt x="1919455" y="4381564"/>
                  <a:pt x="2094276" y="4381564"/>
                  <a:pt x="2236182" y="4299649"/>
                </a:cubicBezTo>
                <a:cubicBezTo>
                  <a:pt x="2718691" y="4021064"/>
                  <a:pt x="3201200" y="3742480"/>
                  <a:pt x="3683710" y="3463896"/>
                </a:cubicBezTo>
                <a:cubicBezTo>
                  <a:pt x="3825599" y="3381954"/>
                  <a:pt x="3913009" y="3230547"/>
                  <a:pt x="3913025" y="3066690"/>
                </a:cubicBezTo>
                <a:lnTo>
                  <a:pt x="3913025" y="1395053"/>
                </a:lnTo>
                <a:cubicBezTo>
                  <a:pt x="3913033" y="1231172"/>
                  <a:pt x="3825619" y="1079735"/>
                  <a:pt x="3683710" y="997781"/>
                </a:cubicBezTo>
                <a:cubicBezTo>
                  <a:pt x="3201200" y="719219"/>
                  <a:pt x="2718691" y="440656"/>
                  <a:pt x="2236182" y="162094"/>
                </a:cubicBezTo>
                <a:cubicBezTo>
                  <a:pt x="2166453" y="121865"/>
                  <a:pt x="2087366" y="100695"/>
                  <a:pt x="2006866" y="100711"/>
                </a:cubicBezTo>
                <a:close/>
              </a:path>
            </a:pathLst>
          </a:custGeom>
          <a:noFill/>
          <a:ln w="38100" cap="flat">
            <a:gradFill flip="none" rotWithShape="1">
              <a:gsLst>
                <a:gs pos="0">
                  <a:schemeClr val="accent3">
                    <a:lumMod val="40000"/>
                    <a:lumOff val="60000"/>
                  </a:schemeClr>
                </a:gs>
                <a:gs pos="46000">
                  <a:schemeClr val="accent3">
                    <a:lumMod val="95000"/>
                    <a:lumOff val="5000"/>
                  </a:schemeClr>
                </a:gs>
                <a:gs pos="100000">
                  <a:schemeClr val="accent3">
                    <a:lumMod val="60000"/>
                  </a:schemeClr>
                </a:gs>
              </a:gsLst>
              <a:path path="circle">
                <a:fillToRect l="50000" t="130000" r="50000" b="-30000"/>
              </a:path>
              <a:tileRect/>
            </a:gradFill>
            <a:prstDash val="solid"/>
            <a:miter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187" name="avatar_frame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6E339964-B583-40EC-B342-B0FC1AE36565}"/>
              </a:ext>
            </a:extLst>
          </xdr:cNvPr>
          <xdr:cNvSpPr/>
        </xdr:nvSpPr>
        <xdr:spPr>
          <a:xfrm>
            <a:off x="13430250" y="971550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129</xdr:col>
      <xdr:colOff>0</xdr:colOff>
      <xdr:row>167</xdr:row>
      <xdr:rowOff>1</xdr:rowOff>
    </xdr:from>
    <xdr:to>
      <xdr:col>139</xdr:col>
      <xdr:colOff>0</xdr:colOff>
      <xdr:row>177</xdr:row>
      <xdr:rowOff>1015</xdr:rowOff>
    </xdr:to>
    <xdr:grpSp>
      <xdr:nvGrpSpPr>
        <xdr:cNvPr id="1188" name="pc_icon#imageTOP" descr=" не правильно настроен код##png#1" title="pc_icon#image">
          <a:extLst>
            <a:ext uri="{FF2B5EF4-FFF2-40B4-BE49-F238E27FC236}">
              <a16:creationId xmlns:a16="http://schemas.microsoft.com/office/drawing/2014/main" id="{7506A14C-5E7E-43CB-895F-1870B0DB2779}"/>
            </a:ext>
          </a:extLst>
        </xdr:cNvPr>
        <xdr:cNvGrpSpPr/>
      </xdr:nvGrpSpPr>
      <xdr:grpSpPr>
        <a:xfrm>
          <a:off x="12287250" y="15906751"/>
          <a:ext cx="952500" cy="953514"/>
          <a:chOff x="12382500" y="16716376"/>
          <a:chExt cx="952500" cy="953514"/>
        </a:xfrm>
      </xdr:grpSpPr>
      <xdr:sp macro="" textlink="">
        <xdr:nvSpPr>
          <xdr:cNvPr id="1189" name="pc_icon#image" descr="Кода нет, это картинка#Кода нет, это картинка#png#1" title="pc_icon#image">
            <a:extLst>
              <a:ext uri="{FF2B5EF4-FFF2-40B4-BE49-F238E27FC236}">
                <a16:creationId xmlns:a16="http://schemas.microsoft.com/office/drawing/2014/main" id="{7359077F-81B3-47B4-A10D-DD72C0ECBCDC}"/>
              </a:ext>
            </a:extLst>
          </xdr:cNvPr>
          <xdr:cNvSpPr/>
        </xdr:nvSpPr>
        <xdr:spPr>
          <a:xfrm>
            <a:off x="12382500" y="16716376"/>
            <a:ext cx="952500" cy="952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1190" name="Рисунок 1189">
            <a:extLst>
              <a:ext uri="{FF2B5EF4-FFF2-40B4-BE49-F238E27FC236}">
                <a16:creationId xmlns:a16="http://schemas.microsoft.com/office/drawing/2014/main" id="{B3ED5AE4-1320-4746-9982-FB147C3A28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382500" y="16717390"/>
            <a:ext cx="952500" cy="952500"/>
          </a:xfrm>
          <a:prstGeom prst="rect">
            <a:avLst/>
          </a:prstGeom>
        </xdr:spPr>
      </xdr:pic>
    </xdr:grpSp>
    <xdr:clientData/>
  </xdr:twoCellAnchor>
  <xdr:twoCellAnchor>
    <xdr:from>
      <xdr:col>206</xdr:col>
      <xdr:colOff>66675</xdr:colOff>
      <xdr:row>176</xdr:row>
      <xdr:rowOff>0</xdr:rowOff>
    </xdr:from>
    <xdr:to>
      <xdr:col>246</xdr:col>
      <xdr:colOff>66675</xdr:colOff>
      <xdr:row>205</xdr:row>
      <xdr:rowOff>0</xdr:rowOff>
    </xdr:to>
    <xdr:grpSp>
      <xdr:nvGrpSpPr>
        <xdr:cNvPr id="1191" name="big_message_cont#contTOP">
          <a:extLst>
            <a:ext uri="{FF2B5EF4-FFF2-40B4-BE49-F238E27FC236}">
              <a16:creationId xmlns:a16="http://schemas.microsoft.com/office/drawing/2014/main" id="{93B818A0-62F1-478F-A306-C5828AA51322}"/>
            </a:ext>
          </a:extLst>
        </xdr:cNvPr>
        <xdr:cNvGrpSpPr/>
      </xdr:nvGrpSpPr>
      <xdr:grpSpPr>
        <a:xfrm>
          <a:off x="19688175" y="16764000"/>
          <a:ext cx="3810000" cy="2762250"/>
          <a:chOff x="19431000" y="6477000"/>
          <a:chExt cx="3810000" cy="2762250"/>
        </a:xfrm>
      </xdr:grpSpPr>
      <xdr:grpSp>
        <xdr:nvGrpSpPr>
          <xdr:cNvPr id="1192" name="big_message_bcg#spriteTOP" title="big_message_bcg#sprite">
            <a:extLst>
              <a:ext uri="{FF2B5EF4-FFF2-40B4-BE49-F238E27FC236}">
                <a16:creationId xmlns:a16="http://schemas.microsoft.com/office/drawing/2014/main" id="{DF2BB550-9246-4E00-993C-C9A67939BBB9}"/>
              </a:ext>
            </a:extLst>
          </xdr:cNvPr>
          <xdr:cNvGrpSpPr/>
        </xdr:nvGrpSpPr>
        <xdr:grpSpPr>
          <a:xfrm>
            <a:off x="19526250" y="6572250"/>
            <a:ext cx="3619499" cy="2381250"/>
            <a:chOff x="19526250" y="6572250"/>
            <a:chExt cx="3619499" cy="2381250"/>
          </a:xfrm>
        </xdr:grpSpPr>
        <xdr:sp macro="" textlink="">
          <xdr:nvSpPr>
            <xdr:cNvPr id="1200" name="Прямоугольник: скругленные углы 1199">
              <a:extLst>
                <a:ext uri="{FF2B5EF4-FFF2-40B4-BE49-F238E27FC236}">
                  <a16:creationId xmlns:a16="http://schemas.microsoft.com/office/drawing/2014/main" id="{8CA27A69-F2E0-4FA4-B563-B41219FAB24D}"/>
                </a:ext>
              </a:extLst>
            </xdr:cNvPr>
            <xdr:cNvSpPr/>
          </xdr:nvSpPr>
          <xdr:spPr>
            <a:xfrm>
              <a:off x="19621500" y="6667500"/>
              <a:ext cx="3429000" cy="2190750"/>
            </a:xfrm>
            <a:prstGeom prst="roundRect">
              <a:avLst>
                <a:gd name="adj" fmla="val 6445"/>
              </a:avLst>
            </a:prstGeom>
            <a:solidFill>
              <a:schemeClr val="bg2">
                <a:lumMod val="50000"/>
              </a:schemeClr>
            </a:solidFill>
            <a:ln w="19050">
              <a:solidFill>
                <a:schemeClr val="bg2">
                  <a:lumMod val="90000"/>
                </a:schemeClr>
              </a:solidFill>
            </a:ln>
            <a:effectLst>
              <a:outerShdw dist="508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201" name="big_message_bcg#sprite" descr="objects[obj_name].x=$x;&#10;objects[obj_name].y=$y;&#10;objects[obj_name].width=$w;&#10;objects[obj_name].height=$h;&#10;objects[obj_name].base_tint=objects[obj_name].tint;##png#1.5" title="big_message_bcg#sprite">
              <a:extLst>
                <a:ext uri="{FF2B5EF4-FFF2-40B4-BE49-F238E27FC236}">
                  <a16:creationId xmlns:a16="http://schemas.microsoft.com/office/drawing/2014/main" id="{1381C477-0F0D-4BFC-9D6B-509F85E60D0A}"/>
                </a:ext>
              </a:extLst>
            </xdr:cNvPr>
            <xdr:cNvSpPr/>
          </xdr:nvSpPr>
          <xdr:spPr>
            <a:xfrm>
              <a:off x="19526250" y="6572250"/>
              <a:ext cx="3619499" cy="2381250"/>
            </a:xfrm>
            <a:prstGeom prst="rect">
              <a:avLst/>
            </a:prstGeom>
            <a:noFill/>
            <a:ln w="12700" cap="flat" cmpd="sng" algn="ctr">
              <a:solidFill>
                <a:schemeClr val="bg1">
                  <a:lumMod val="9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202" name="Рисунок 1087">
              <a:extLst>
                <a:ext uri="{FF2B5EF4-FFF2-40B4-BE49-F238E27FC236}">
                  <a16:creationId xmlns:a16="http://schemas.microsoft.com/office/drawing/2014/main" id="{CB32369C-E506-4850-A7AA-96CCDB03CD29}"/>
                </a:ext>
              </a:extLst>
            </xdr:cNvPr>
            <xdr:cNvSpPr/>
          </xdr:nvSpPr>
          <xdr:spPr>
            <a:xfrm>
              <a:off x="19716750" y="6734175"/>
              <a:ext cx="609600" cy="637144"/>
            </a:xfrm>
            <a:custGeom>
              <a:avLst/>
              <a:gdLst>
                <a:gd name="connsiteX0" fmla="*/ 11685 w 257175"/>
                <a:gd name="connsiteY0" fmla="*/ 242524 h 276225"/>
                <a:gd name="connsiteX1" fmla="*/ 59781 w 257175"/>
                <a:gd name="connsiteY1" fmla="*/ 193422 h 276225"/>
                <a:gd name="connsiteX2" fmla="*/ 127856 w 257175"/>
                <a:gd name="connsiteY2" fmla="*/ 219828 h 276225"/>
                <a:gd name="connsiteX3" fmla="*/ 173630 w 257175"/>
                <a:gd name="connsiteY3" fmla="*/ 204901 h 276225"/>
                <a:gd name="connsiteX4" fmla="*/ 98137 w 257175"/>
                <a:gd name="connsiteY4" fmla="*/ 128381 h 276225"/>
                <a:gd name="connsiteX5" fmla="*/ 69522 w 257175"/>
                <a:gd name="connsiteY5" fmla="*/ 157076 h 276225"/>
                <a:gd name="connsiteX6" fmla="*/ 34211 w 257175"/>
                <a:gd name="connsiteY6" fmla="*/ 121366 h 276225"/>
                <a:gd name="connsiteX7" fmla="*/ 96919 w 257175"/>
                <a:gd name="connsiteY7" fmla="*/ 59513 h 276225"/>
                <a:gd name="connsiteX8" fmla="*/ 161454 w 257175"/>
                <a:gd name="connsiteY8" fmla="*/ 60147 h 276225"/>
                <a:gd name="connsiteX9" fmla="*/ 118836 w 257175"/>
                <a:gd name="connsiteY9" fmla="*/ 105421 h 276225"/>
                <a:gd name="connsiteX10" fmla="*/ 194330 w 257175"/>
                <a:gd name="connsiteY10" fmla="*/ 185129 h 276225"/>
                <a:gd name="connsiteX11" fmla="*/ 220619 w 257175"/>
                <a:gd name="connsiteY11" fmla="*/ 118407 h 276225"/>
                <a:gd name="connsiteX12" fmla="*/ 134057 w 257175"/>
                <a:gd name="connsiteY12" fmla="*/ 11685 h 276225"/>
                <a:gd name="connsiteX13" fmla="*/ 245251 w 257175"/>
                <a:gd name="connsiteY13" fmla="*/ 108495 h 276225"/>
                <a:gd name="connsiteX14" fmla="*/ 222335 w 257175"/>
                <a:gd name="connsiteY14" fmla="*/ 215100 h 276225"/>
                <a:gd name="connsiteX15" fmla="*/ 249732 w 257175"/>
                <a:gd name="connsiteY15" fmla="*/ 242519 h 276225"/>
                <a:gd name="connsiteX16" fmla="*/ 229032 w 257175"/>
                <a:gd name="connsiteY16" fmla="*/ 264199 h 276225"/>
                <a:gd name="connsiteX17" fmla="*/ 199809 w 257175"/>
                <a:gd name="connsiteY17" fmla="*/ 234867 h 276225"/>
                <a:gd name="connsiteX18" fmla="*/ 136882 w 257175"/>
                <a:gd name="connsiteY18" fmla="*/ 254634 h 276225"/>
                <a:gd name="connsiteX19" fmla="*/ 70131 w 257175"/>
                <a:gd name="connsiteY19" fmla="*/ 227853 h 276225"/>
                <a:gd name="connsiteX20" fmla="*/ 34820 w 257175"/>
                <a:gd name="connsiteY20" fmla="*/ 264837 h 2762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57175" h="276225">
                  <a:moveTo>
                    <a:pt x="11685" y="242524"/>
                  </a:moveTo>
                  <a:lnTo>
                    <a:pt x="59781" y="193422"/>
                  </a:lnTo>
                  <a:cubicBezTo>
                    <a:pt x="59781" y="193422"/>
                    <a:pt x="97304" y="221109"/>
                    <a:pt x="127856" y="219828"/>
                  </a:cubicBezTo>
                  <a:cubicBezTo>
                    <a:pt x="158408" y="218546"/>
                    <a:pt x="173630" y="204901"/>
                    <a:pt x="173630" y="204901"/>
                  </a:cubicBezTo>
                  <a:lnTo>
                    <a:pt x="98137" y="128381"/>
                  </a:lnTo>
                  <a:lnTo>
                    <a:pt x="69522" y="157076"/>
                  </a:lnTo>
                  <a:lnTo>
                    <a:pt x="34211" y="121366"/>
                  </a:lnTo>
                  <a:lnTo>
                    <a:pt x="96919" y="59513"/>
                  </a:lnTo>
                  <a:lnTo>
                    <a:pt x="161454" y="60147"/>
                  </a:lnTo>
                  <a:lnTo>
                    <a:pt x="118836" y="105421"/>
                  </a:lnTo>
                  <a:lnTo>
                    <a:pt x="194330" y="185129"/>
                  </a:lnTo>
                  <a:cubicBezTo>
                    <a:pt x="194330" y="185129"/>
                    <a:pt x="229106" y="157730"/>
                    <a:pt x="220619" y="118407"/>
                  </a:cubicBezTo>
                  <a:cubicBezTo>
                    <a:pt x="212132" y="79085"/>
                    <a:pt x="134057" y="11685"/>
                    <a:pt x="134057" y="11685"/>
                  </a:cubicBezTo>
                  <a:cubicBezTo>
                    <a:pt x="191047" y="27426"/>
                    <a:pt x="234603" y="73731"/>
                    <a:pt x="245251" y="108495"/>
                  </a:cubicBezTo>
                  <a:cubicBezTo>
                    <a:pt x="255899" y="143260"/>
                    <a:pt x="252267" y="178375"/>
                    <a:pt x="222335" y="215100"/>
                  </a:cubicBezTo>
                  <a:lnTo>
                    <a:pt x="249732" y="242519"/>
                  </a:lnTo>
                  <a:lnTo>
                    <a:pt x="229032" y="264199"/>
                  </a:lnTo>
                  <a:lnTo>
                    <a:pt x="199809" y="234867"/>
                  </a:lnTo>
                  <a:cubicBezTo>
                    <a:pt x="199809" y="234867"/>
                    <a:pt x="167642" y="254837"/>
                    <a:pt x="136882" y="254634"/>
                  </a:cubicBezTo>
                  <a:cubicBezTo>
                    <a:pt x="106122" y="254454"/>
                    <a:pt x="91821" y="246026"/>
                    <a:pt x="70131" y="227853"/>
                  </a:cubicBezTo>
                  <a:lnTo>
                    <a:pt x="34820" y="264837"/>
                  </a:ln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15579" cap="flat">
              <a:noFill/>
              <a:prstDash val="solid"/>
              <a:miter/>
            </a:ln>
            <a:effectLst>
              <a:innerShdw blurRad="63500" dist="50800" dir="13500000">
                <a:prstClr val="black">
                  <a:alpha val="48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  <xdr:sp macro="" textlink="">
        <xdr:nvSpPr>
          <xdr:cNvPr id="1193" name="big_message_text#block" descr="objects[obj_name]=new PIXI.BitmapText('', {fontName: 'mfont',fontSize: 25,align: 'center'});&#10;objects[obj_name].anchor.set(0.5,0.5);&#10;objects[obj_name].maxWidth=$w;&#10;objects[obj_name].x=$x;&#10;objects[obj_name].y=$y;&#10;objects[obj_name].base_tint=objects[obj_name].tint=$t_col;#&#10;&#10;#png" title="big_message_text#block">
            <a:extLst>
              <a:ext uri="{FF2B5EF4-FFF2-40B4-BE49-F238E27FC236}">
                <a16:creationId xmlns:a16="http://schemas.microsoft.com/office/drawing/2014/main" id="{EA7ABB01-C1CE-4BB3-A3DE-151D07760838}"/>
              </a:ext>
            </a:extLst>
          </xdr:cNvPr>
          <xdr:cNvSpPr/>
        </xdr:nvSpPr>
        <xdr:spPr>
          <a:xfrm>
            <a:off x="19764375" y="7048500"/>
            <a:ext cx="314325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entury Gothic" panose="020B0502020202020204" pitchFamily="34" charset="0"/>
              </a:rPr>
              <a:t>СООБЩЕНИЕ</a:t>
            </a:r>
          </a:p>
        </xdr:txBody>
      </xdr:sp>
      <xdr:sp macro="" textlink="">
        <xdr:nvSpPr>
          <xdr:cNvPr id="1194" name="big_message_cont#cont" descr="objects[obj_name]=new PIXI.Container();&#10;objects[obj_name].visible=false;&#10;objects[obj_name].sx=objects[obj_name].x=$x;&#10;objects[obj_name].sy=objects[obj_name].y=$y;&#10;&#10;objects[obj_name].show=function(){this.children.forEach(c=&gt;{c.alpha=1;c.tint=c.base_tint})};#objects[obj_name].addChild(objects.big_message_bcg);&#10;objects[obj_name].addChild(objects.big_message_text);&#10;objects[obj_name].addChild(objects.close_big_message);&#10;objects[obj_name].addChild(objects.big_message_text2);&#10;app.stage.addChild(objects[obj_name]);#png" title="big_message_cont#cont">
            <a:extLst>
              <a:ext uri="{FF2B5EF4-FFF2-40B4-BE49-F238E27FC236}">
                <a16:creationId xmlns:a16="http://schemas.microsoft.com/office/drawing/2014/main" id="{BC1680E1-E43C-408D-8EDA-0D1CC6BEC795}"/>
              </a:ext>
            </a:extLst>
          </xdr:cNvPr>
          <xdr:cNvSpPr/>
        </xdr:nvSpPr>
        <xdr:spPr>
          <a:xfrm>
            <a:off x="19431000" y="6477000"/>
            <a:ext cx="3810000" cy="27622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9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195" name="close_big_message#spriteTOP" title="close_big_message#sprite">
            <a:extLst>
              <a:ext uri="{FF2B5EF4-FFF2-40B4-BE49-F238E27FC236}">
                <a16:creationId xmlns:a16="http://schemas.microsoft.com/office/drawing/2014/main" id="{5D32F506-D84A-46E3-AC7E-E90E809300F3}"/>
              </a:ext>
            </a:extLst>
          </xdr:cNvPr>
          <xdr:cNvGrpSpPr/>
        </xdr:nvGrpSpPr>
        <xdr:grpSpPr>
          <a:xfrm>
            <a:off x="20554950" y="8286750"/>
            <a:ext cx="1543050" cy="571499"/>
            <a:chOff x="14849475" y="4648201"/>
            <a:chExt cx="1543050" cy="571499"/>
          </a:xfrm>
        </xdr:grpSpPr>
        <xdr:sp macro="" textlink="">
          <xdr:nvSpPr>
            <xdr:cNvPr id="1197" name="close_big_message#sprite" descr="objects[obj_name].buttonMode=true;&#10;objects[obj_name].interactive=true;&#10;objects[obj_name].x=$x;&#10;objects[obj_name].y=$y;&#10;objects[obj_name].width=$w;&#10;objects[obj_name].height=$h;&#10;objects[obj_name].base_tint=objects[obj_name].tint;&#10;objects[obj_name].pointerover=function(){this.tint=0x55ffff};&#10;objects[obj_name].pointerout=function(){this.tint=this.base_tint};&#10;objects[obj_name].pointerdown=function(){big_message.close()};&#10;    ##png#1.5" title="close_big_message#sprite">
              <a:extLst>
                <a:ext uri="{FF2B5EF4-FFF2-40B4-BE49-F238E27FC236}">
                  <a16:creationId xmlns:a16="http://schemas.microsoft.com/office/drawing/2014/main" id="{C2E060CC-1160-44A5-BDC5-CF8F32AF9F1E}"/>
                </a:ext>
              </a:extLst>
            </xdr:cNvPr>
            <xdr:cNvSpPr/>
          </xdr:nvSpPr>
          <xdr:spPr>
            <a:xfrm>
              <a:off x="14849475" y="4648201"/>
              <a:ext cx="1543050" cy="571499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198" name="object">
              <a:extLst>
                <a:ext uri="{FF2B5EF4-FFF2-40B4-BE49-F238E27FC236}">
                  <a16:creationId xmlns:a16="http://schemas.microsoft.com/office/drawing/2014/main" id="{9055870E-113C-4F5F-8E9F-320137374C97}"/>
                </a:ext>
              </a:extLst>
            </xdr:cNvPr>
            <xdr:cNvSpPr/>
          </xdr:nvSpPr>
          <xdr:spPr>
            <a:xfrm>
              <a:off x="14944725" y="4743451"/>
              <a:ext cx="1352550" cy="381000"/>
            </a:xfrm>
            <a:prstGeom prst="roundRect">
              <a:avLst>
                <a:gd name="adj" fmla="val 18690"/>
              </a:avLst>
            </a:prstGeom>
            <a:solidFill>
              <a:schemeClr val="bg2">
                <a:lumMod val="50000"/>
              </a:schemeClr>
            </a:solidFill>
            <a:ln w="19050">
              <a:solidFill>
                <a:schemeClr val="bg1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1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199" name="object">
              <a:extLst>
                <a:ext uri="{FF2B5EF4-FFF2-40B4-BE49-F238E27FC236}">
                  <a16:creationId xmlns:a16="http://schemas.microsoft.com/office/drawing/2014/main" id="{B5B59D2A-25B9-4527-8B18-66F6F5A8FD7D}"/>
                </a:ext>
              </a:extLst>
            </xdr:cNvPr>
            <xdr:cNvSpPr/>
          </xdr:nvSpPr>
          <xdr:spPr>
            <a:xfrm>
              <a:off x="15230475" y="4772026"/>
              <a:ext cx="714375" cy="390525"/>
            </a:xfrm>
            <a:prstGeom prst="roundRect">
              <a:avLst>
                <a:gd name="adj" fmla="val 18690"/>
              </a:avLst>
            </a:prstGeom>
            <a:noFill/>
            <a:ln w="1905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 b="1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Yahfie" pitchFamily="2" charset="-128"/>
                  <a:ea typeface="Yahfie" pitchFamily="2" charset="-128"/>
                  <a:cs typeface="Yahfie" pitchFamily="2" charset="-128"/>
                </a:rPr>
                <a:t>OK</a:t>
              </a:r>
              <a:endParaRPr lang="ru-RU" sz="2400" b="1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</xdr:grpSp>
      <xdr:sp macro="" textlink="">
        <xdr:nvSpPr>
          <xdr:cNvPr id="1196" name="big_message_text2#block" descr="objects[obj_name]=new PIXI.BitmapText('', {fontName: 'mfont',fontSize: 25,align: 'center'});&#10;objects[obj_name].anchor.set(0.5,0.5);&#10;objects[obj_name].maxWidth=$w;&#10;objects[obj_name].x=$x;&#10;objects[obj_name].y=$y;&#10;objects[obj_name].base_tint=objects[obj_name].tint=$t_col;#&#10;&#10;#png" title="big_message_text2#block">
            <a:extLst>
              <a:ext uri="{FF2B5EF4-FFF2-40B4-BE49-F238E27FC236}">
                <a16:creationId xmlns:a16="http://schemas.microsoft.com/office/drawing/2014/main" id="{C814CD0A-75B3-40E1-BC21-5F3D23231B8D}"/>
              </a:ext>
            </a:extLst>
          </xdr:cNvPr>
          <xdr:cNvSpPr/>
        </xdr:nvSpPr>
        <xdr:spPr>
          <a:xfrm>
            <a:off x="19716750" y="7762875"/>
            <a:ext cx="32385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C000"/>
                </a:solidFill>
                <a:effectLst/>
                <a:latin typeface="Century Gothic" panose="020B0502020202020204" pitchFamily="34" charset="0"/>
              </a:rPr>
              <a:t>СООБЩЕНИЕ</a:t>
            </a:r>
            <a:r>
              <a:rPr lang="en-US" sz="1100" b="1" cap="none" spc="0">
                <a:ln>
                  <a:noFill/>
                </a:ln>
                <a:solidFill>
                  <a:srgbClr val="FFC000"/>
                </a:solidFill>
                <a:effectLst/>
                <a:latin typeface="Century Gothic" panose="020B0502020202020204" pitchFamily="34" charset="0"/>
              </a:rPr>
              <a:t>23</a:t>
            </a:r>
            <a:endParaRPr lang="ru-RU" sz="1100" b="1" cap="none" spc="0">
              <a:ln>
                <a:noFill/>
              </a:ln>
              <a:solidFill>
                <a:srgbClr val="FFC000"/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189</xdr:col>
      <xdr:colOff>0</xdr:colOff>
      <xdr:row>119</xdr:row>
      <xdr:rowOff>9525</xdr:rowOff>
    </xdr:from>
    <xdr:to>
      <xdr:col>233</xdr:col>
      <xdr:colOff>0</xdr:colOff>
      <xdr:row>151</xdr:row>
      <xdr:rowOff>9525</xdr:rowOff>
    </xdr:to>
    <xdr:grpSp>
      <xdr:nvGrpSpPr>
        <xdr:cNvPr id="1203" name="td_cont#contTOP">
          <a:extLst>
            <a:ext uri="{FF2B5EF4-FFF2-40B4-BE49-F238E27FC236}">
              <a16:creationId xmlns:a16="http://schemas.microsoft.com/office/drawing/2014/main" id="{4B727B6E-FFAE-4D16-94AB-40C704D7C91B}"/>
            </a:ext>
          </a:extLst>
        </xdr:cNvPr>
        <xdr:cNvGrpSpPr/>
      </xdr:nvGrpSpPr>
      <xdr:grpSpPr>
        <a:xfrm>
          <a:off x="18002250" y="11344275"/>
          <a:ext cx="4191000" cy="3048000"/>
          <a:chOff x="17745075" y="1057275"/>
          <a:chExt cx="4191000" cy="3048000"/>
        </a:xfrm>
      </xdr:grpSpPr>
      <xdr:grpSp>
        <xdr:nvGrpSpPr>
          <xdr:cNvPr id="1204" name="td_bcg#spriteTOP" title="td_bcg#sprite">
            <a:extLst>
              <a:ext uri="{FF2B5EF4-FFF2-40B4-BE49-F238E27FC236}">
                <a16:creationId xmlns:a16="http://schemas.microsoft.com/office/drawing/2014/main" id="{626BB11C-2FD0-46CD-96CE-424D834BBCF2}"/>
              </a:ext>
            </a:extLst>
          </xdr:cNvPr>
          <xdr:cNvGrpSpPr/>
        </xdr:nvGrpSpPr>
        <xdr:grpSpPr>
          <a:xfrm>
            <a:off x="17840326" y="1152525"/>
            <a:ext cx="4000499" cy="2667001"/>
            <a:chOff x="17621250" y="1428749"/>
            <a:chExt cx="4000499" cy="2667001"/>
          </a:xfrm>
        </xdr:grpSpPr>
        <xdr:sp macro="" textlink="">
          <xdr:nvSpPr>
            <xdr:cNvPr id="1216" name="object">
              <a:extLst>
                <a:ext uri="{FF2B5EF4-FFF2-40B4-BE49-F238E27FC236}">
                  <a16:creationId xmlns:a16="http://schemas.microsoft.com/office/drawing/2014/main" id="{C29D78BB-4BDA-4CB5-9160-851503785863}"/>
                </a:ext>
              </a:extLst>
            </xdr:cNvPr>
            <xdr:cNvSpPr/>
          </xdr:nvSpPr>
          <xdr:spPr>
            <a:xfrm>
              <a:off x="17716500" y="1524000"/>
              <a:ext cx="3810000" cy="2476500"/>
            </a:xfrm>
            <a:prstGeom prst="roundRect">
              <a:avLst>
                <a:gd name="adj" fmla="val 7436"/>
              </a:avLst>
            </a:prstGeom>
            <a:solidFill>
              <a:schemeClr val="accent1">
                <a:lumMod val="50000"/>
              </a:schemeClr>
            </a:solidFill>
            <a:ln w="28575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217" name="object">
              <a:extLst>
                <a:ext uri="{FF2B5EF4-FFF2-40B4-BE49-F238E27FC236}">
                  <a16:creationId xmlns:a16="http://schemas.microsoft.com/office/drawing/2014/main" id="{E2342903-7E05-4256-ADC2-AA8B49477793}"/>
                </a:ext>
              </a:extLst>
            </xdr:cNvPr>
            <xdr:cNvSpPr/>
          </xdr:nvSpPr>
          <xdr:spPr>
            <a:xfrm>
              <a:off x="18192751" y="2000250"/>
              <a:ext cx="1238250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218" name="td_bcg#sprite" descr="objects[obj_name].x=$x;&#10;objects[obj_name].y=$y;&#10;objects[obj_name].width=$w;&#10;objects[obj_name].height=$h;&#10;objects[obj_name].base_tint=objects[obj_name].tint;&#10;objects[obj_name].interactive=true;##png#1.5" title="td_bcg#sprite">
              <a:extLst>
                <a:ext uri="{FF2B5EF4-FFF2-40B4-BE49-F238E27FC236}">
                  <a16:creationId xmlns:a16="http://schemas.microsoft.com/office/drawing/2014/main" id="{00A7B38E-CA02-4957-A6C4-8C58D5354B25}"/>
                </a:ext>
              </a:extLst>
            </xdr:cNvPr>
            <xdr:cNvSpPr/>
          </xdr:nvSpPr>
          <xdr:spPr>
            <a:xfrm>
              <a:off x="17621250" y="1428749"/>
              <a:ext cx="4000499" cy="2667001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219" name="object">
              <a:extLst>
                <a:ext uri="{FF2B5EF4-FFF2-40B4-BE49-F238E27FC236}">
                  <a16:creationId xmlns:a16="http://schemas.microsoft.com/office/drawing/2014/main" id="{5C511CAD-527B-4F3C-9046-855E32D43384}"/>
                </a:ext>
              </a:extLst>
            </xdr:cNvPr>
            <xdr:cNvSpPr/>
          </xdr:nvSpPr>
          <xdr:spPr>
            <a:xfrm>
              <a:off x="19812001" y="2000250"/>
              <a:ext cx="1238250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1205" name="td_name1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td_name1#block">
            <a:extLst>
              <a:ext uri="{FF2B5EF4-FFF2-40B4-BE49-F238E27FC236}">
                <a16:creationId xmlns:a16="http://schemas.microsoft.com/office/drawing/2014/main" id="{08472093-8CC2-4599-83E8-F0AC6809AC3D}"/>
              </a:ext>
            </a:extLst>
          </xdr:cNvPr>
          <xdr:cNvSpPr/>
        </xdr:nvSpPr>
        <xdr:spPr>
          <a:xfrm>
            <a:off x="18316575" y="3057525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игр1</a:t>
            </a:r>
          </a:p>
        </xdr:txBody>
      </xdr:sp>
      <xdr:sp macro="" textlink="">
        <xdr:nvSpPr>
          <xdr:cNvPr id="1206" name="td_rating1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td_rating1#block">
            <a:extLst>
              <a:ext uri="{FF2B5EF4-FFF2-40B4-BE49-F238E27FC236}">
                <a16:creationId xmlns:a16="http://schemas.microsoft.com/office/drawing/2014/main" id="{6BC146B6-AEF0-4CBA-9F11-4F04966A243F}"/>
              </a:ext>
            </a:extLst>
          </xdr:cNvPr>
          <xdr:cNvSpPr/>
        </xdr:nvSpPr>
        <xdr:spPr>
          <a:xfrm>
            <a:off x="18316575" y="3333750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р1</a:t>
            </a:r>
          </a:p>
        </xdr:txBody>
      </xdr:sp>
      <xdr:sp macro="" textlink="">
        <xdr:nvSpPr>
          <xdr:cNvPr id="1207" name="td_avatar1#block" descr="objects[obj_name]=new PIXI.Sprite();&#10;objects[obj_name].sx=objects[obj_name].x=$x;&#10;objects[obj_name].sy=objects[obj_name].y=$y;&#10;objects[obj_name].width=$w;&#10;objects[obj_name].height=$h;&#10;#&#10;&#10;" title="td_avatar1#block">
            <a:extLst>
              <a:ext uri="{FF2B5EF4-FFF2-40B4-BE49-F238E27FC236}">
                <a16:creationId xmlns:a16="http://schemas.microsoft.com/office/drawing/2014/main" id="{F1AC4E8D-64FB-49D2-A5E6-F337AE6DC470}"/>
              </a:ext>
            </a:extLst>
          </xdr:cNvPr>
          <xdr:cNvSpPr/>
        </xdr:nvSpPr>
        <xdr:spPr>
          <a:xfrm>
            <a:off x="18411825" y="1724025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avatar1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208" name="td_cont#cont" descr="objects[obj_name]=new PIXI.Container();&#10;objects[obj_name].visible=false;&#10;objects[obj_name].sx=objects[obj_name].x=190;&#10;objects[obj_name].sy=objects[obj_name].y=50;&#10;objects[obj_name].width=$w;&#10;objects[obj_name].height=$h;&#10;&#10;#objects[obj_name].addChild(objects.td_bcg);&#10;objects[obj_name].addChild(objects.td_title);&#10;objects[obj_name].addChild(objects.td_avatar1);&#10;objects[obj_name].addChild(objects.td_avatar2);&#10;objects[obj_name].addChild(objects.td_name1);&#10;objects[obj_name].addChild(objects.td_name2);&#10;objects[obj_name].addChild(objects.td_rating1);&#10;objects[obj_name].addChild(objects.td_rating2);&#10;objects[obj_name].addChild(objects.td_close);&#10;app.stage.addChild(objects[obj_name]);#png#1.5" title="td_cont#cont">
            <a:extLst>
              <a:ext uri="{FF2B5EF4-FFF2-40B4-BE49-F238E27FC236}">
                <a16:creationId xmlns:a16="http://schemas.microsoft.com/office/drawing/2014/main" id="{EA8FC23A-B078-4D15-B14F-ADBE6A78996F}"/>
              </a:ext>
            </a:extLst>
          </xdr:cNvPr>
          <xdr:cNvSpPr/>
        </xdr:nvSpPr>
        <xdr:spPr>
          <a:xfrm>
            <a:off x="17745075" y="1057275"/>
            <a:ext cx="4191000" cy="3048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209" name="td_close#spriteTOP" title="td_close#sprite">
            <a:extLst>
              <a:ext uri="{FF2B5EF4-FFF2-40B4-BE49-F238E27FC236}">
                <a16:creationId xmlns:a16="http://schemas.microsoft.com/office/drawing/2014/main" id="{BDF47A03-BDA2-4CB3-92CB-A12D85D56857}"/>
              </a:ext>
            </a:extLst>
          </xdr:cNvPr>
          <xdr:cNvGrpSpPr/>
        </xdr:nvGrpSpPr>
        <xdr:grpSpPr>
          <a:xfrm>
            <a:off x="21269325" y="1247775"/>
            <a:ext cx="476250" cy="476250"/>
            <a:chOff x="10639425" y="5229225"/>
            <a:chExt cx="476250" cy="476250"/>
          </a:xfrm>
        </xdr:grpSpPr>
        <xdr:sp macro="" textlink="">
          <xdr:nvSpPr>
            <xdr:cNvPr id="1214" name="td_close#sprite" descr="objects[obj_name].x=$x;&#10;objects[obj_name].y=$y;&#10;objects[obj_name].width=$w;&#10;objects[obj_name].height=$h;&#10;objects[obj_name].interactive=true;&#10;objects[obj_name].buttonMode=true;&#10;objects[obj_name].pointerdown=function(){cards_menu.close_table_dialog()};&#10;objects[obj_name].base_tint=objects[obj_name].tint;##png#1.5" title="td_close#sprite">
              <a:extLst>
                <a:ext uri="{FF2B5EF4-FFF2-40B4-BE49-F238E27FC236}">
                  <a16:creationId xmlns:a16="http://schemas.microsoft.com/office/drawing/2014/main" id="{4635A2FE-C143-4E5D-B195-460C77FB328B}"/>
                </a:ext>
              </a:extLst>
            </xdr:cNvPr>
            <xdr:cNvSpPr/>
          </xdr:nvSpPr>
          <xdr:spPr>
            <a:xfrm>
              <a:off x="10639425" y="5229225"/>
              <a:ext cx="476250" cy="476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215" name="object">
              <a:extLst>
                <a:ext uri="{FF2B5EF4-FFF2-40B4-BE49-F238E27FC236}">
                  <a16:creationId xmlns:a16="http://schemas.microsoft.com/office/drawing/2014/main" id="{4730D3D7-A248-4B13-9EB8-61C600C04066}"/>
                </a:ext>
              </a:extLst>
            </xdr:cNvPr>
            <xdr:cNvSpPr/>
          </xdr:nvSpPr>
          <xdr:spPr>
            <a:xfrm>
              <a:off x="10675142" y="5270896"/>
              <a:ext cx="404814" cy="398859"/>
            </a:xfrm>
            <a:custGeom>
              <a:avLst/>
              <a:gdLst>
                <a:gd name="connsiteX0" fmla="*/ 0 w 476250"/>
                <a:gd name="connsiteY0" fmla="*/ 0 h 476250"/>
                <a:gd name="connsiteX1" fmla="*/ 476250 w 476250"/>
                <a:gd name="connsiteY1" fmla="*/ 0 h 476250"/>
                <a:gd name="connsiteX2" fmla="*/ 476250 w 476250"/>
                <a:gd name="connsiteY2" fmla="*/ 476250 h 476250"/>
                <a:gd name="connsiteX3" fmla="*/ 0 w 476250"/>
                <a:gd name="connsiteY3" fmla="*/ 476250 h 476250"/>
                <a:gd name="connsiteX4" fmla="*/ 0 w 476250"/>
                <a:gd name="connsiteY4" fmla="*/ 0 h 476250"/>
                <a:gd name="connsiteX0" fmla="*/ 0 w 476250"/>
                <a:gd name="connsiteY0" fmla="*/ 0 h 476250"/>
                <a:gd name="connsiteX1" fmla="*/ 202405 w 476250"/>
                <a:gd name="connsiteY1" fmla="*/ 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244077 w 476250"/>
                <a:gd name="connsiteY4" fmla="*/ 470297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190499 w 476250"/>
                <a:gd name="connsiteY4" fmla="*/ 285750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232172 h 476250"/>
                <a:gd name="connsiteX7" fmla="*/ 0 w 38099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0 h 476250"/>
                <a:gd name="connsiteX7" fmla="*/ 95250 w 47624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41672 w 476249"/>
                <a:gd name="connsiteY6" fmla="*/ 244078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476250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50"/>
                <a:gd name="connsiteY0" fmla="*/ 0 h 476250"/>
                <a:gd name="connsiteX1" fmla="*/ 285749 w 476250"/>
                <a:gd name="connsiteY1" fmla="*/ 190500 h 476250"/>
                <a:gd name="connsiteX2" fmla="*/ 476249 w 476250"/>
                <a:gd name="connsiteY2" fmla="*/ 0 h 476250"/>
                <a:gd name="connsiteX3" fmla="*/ 476250 w 476250"/>
                <a:gd name="connsiteY3" fmla="*/ 226219 h 476250"/>
                <a:gd name="connsiteX4" fmla="*/ 476249 w 476250"/>
                <a:gd name="connsiteY4" fmla="*/ 476250 h 476250"/>
                <a:gd name="connsiteX5" fmla="*/ 285749 w 476250"/>
                <a:gd name="connsiteY5" fmla="*/ 285750 h 476250"/>
                <a:gd name="connsiteX6" fmla="*/ 95250 w 476250"/>
                <a:gd name="connsiteY6" fmla="*/ 476250 h 476250"/>
                <a:gd name="connsiteX7" fmla="*/ 0 w 476250"/>
                <a:gd name="connsiteY7" fmla="*/ 476250 h 476250"/>
                <a:gd name="connsiteX8" fmla="*/ 0 w 476250"/>
                <a:gd name="connsiteY8" fmla="*/ 0 h 476250"/>
                <a:gd name="connsiteX9" fmla="*/ 95250 w 476250"/>
                <a:gd name="connsiteY9" fmla="*/ 0 h 476250"/>
                <a:gd name="connsiteX0" fmla="*/ 95250 w 571499"/>
                <a:gd name="connsiteY0" fmla="*/ 0 h 500309"/>
                <a:gd name="connsiteX1" fmla="*/ 285749 w 571499"/>
                <a:gd name="connsiteY1" fmla="*/ 190500 h 500309"/>
                <a:gd name="connsiteX2" fmla="*/ 476249 w 571499"/>
                <a:gd name="connsiteY2" fmla="*/ 0 h 500309"/>
                <a:gd name="connsiteX3" fmla="*/ 571499 w 571499"/>
                <a:gd name="connsiteY3" fmla="*/ 476250 h 500309"/>
                <a:gd name="connsiteX4" fmla="*/ 476249 w 571499"/>
                <a:gd name="connsiteY4" fmla="*/ 476250 h 500309"/>
                <a:gd name="connsiteX5" fmla="*/ 285749 w 571499"/>
                <a:gd name="connsiteY5" fmla="*/ 285750 h 500309"/>
                <a:gd name="connsiteX6" fmla="*/ 95250 w 571499"/>
                <a:gd name="connsiteY6" fmla="*/ 476250 h 500309"/>
                <a:gd name="connsiteX7" fmla="*/ 0 w 571499"/>
                <a:gd name="connsiteY7" fmla="*/ 476250 h 500309"/>
                <a:gd name="connsiteX8" fmla="*/ 0 w 571499"/>
                <a:gd name="connsiteY8" fmla="*/ 0 h 500309"/>
                <a:gd name="connsiteX9" fmla="*/ 95250 w 571499"/>
                <a:gd name="connsiteY9" fmla="*/ 0 h 500309"/>
                <a:gd name="connsiteX0" fmla="*/ 95250 w 572537"/>
                <a:gd name="connsiteY0" fmla="*/ 28 h 500337"/>
                <a:gd name="connsiteX1" fmla="*/ 285749 w 572537"/>
                <a:gd name="connsiteY1" fmla="*/ 190528 h 500337"/>
                <a:gd name="connsiteX2" fmla="*/ 476249 w 572537"/>
                <a:gd name="connsiteY2" fmla="*/ 28 h 500337"/>
                <a:gd name="connsiteX3" fmla="*/ 523874 w 572537"/>
                <a:gd name="connsiteY3" fmla="*/ 178622 h 500337"/>
                <a:gd name="connsiteX4" fmla="*/ 571499 w 572537"/>
                <a:gd name="connsiteY4" fmla="*/ 476278 h 500337"/>
                <a:gd name="connsiteX5" fmla="*/ 476249 w 572537"/>
                <a:gd name="connsiteY5" fmla="*/ 476278 h 500337"/>
                <a:gd name="connsiteX6" fmla="*/ 285749 w 572537"/>
                <a:gd name="connsiteY6" fmla="*/ 285778 h 500337"/>
                <a:gd name="connsiteX7" fmla="*/ 95250 w 572537"/>
                <a:gd name="connsiteY7" fmla="*/ 476278 h 500337"/>
                <a:gd name="connsiteX8" fmla="*/ 0 w 572537"/>
                <a:gd name="connsiteY8" fmla="*/ 476278 h 500337"/>
                <a:gd name="connsiteX9" fmla="*/ 0 w 572537"/>
                <a:gd name="connsiteY9" fmla="*/ 28 h 500337"/>
                <a:gd name="connsiteX10" fmla="*/ 95250 w 572537"/>
                <a:gd name="connsiteY10" fmla="*/ 28 h 500337"/>
                <a:gd name="connsiteX0" fmla="*/ 95250 w 580664"/>
                <a:gd name="connsiteY0" fmla="*/ 35722 h 536031"/>
                <a:gd name="connsiteX1" fmla="*/ 285749 w 580664"/>
                <a:gd name="connsiteY1" fmla="*/ 226222 h 536031"/>
                <a:gd name="connsiteX2" fmla="*/ 476249 w 580664"/>
                <a:gd name="connsiteY2" fmla="*/ 35722 h 536031"/>
                <a:gd name="connsiteX3" fmla="*/ 571499 w 580664"/>
                <a:gd name="connsiteY3" fmla="*/ 35722 h 536031"/>
                <a:gd name="connsiteX4" fmla="*/ 571499 w 580664"/>
                <a:gd name="connsiteY4" fmla="*/ 511972 h 536031"/>
                <a:gd name="connsiteX5" fmla="*/ 476249 w 580664"/>
                <a:gd name="connsiteY5" fmla="*/ 511972 h 536031"/>
                <a:gd name="connsiteX6" fmla="*/ 285749 w 580664"/>
                <a:gd name="connsiteY6" fmla="*/ 321472 h 536031"/>
                <a:gd name="connsiteX7" fmla="*/ 95250 w 580664"/>
                <a:gd name="connsiteY7" fmla="*/ 511972 h 536031"/>
                <a:gd name="connsiteX8" fmla="*/ 0 w 580664"/>
                <a:gd name="connsiteY8" fmla="*/ 511972 h 536031"/>
                <a:gd name="connsiteX9" fmla="*/ 0 w 580664"/>
                <a:gd name="connsiteY9" fmla="*/ 35722 h 536031"/>
                <a:gd name="connsiteX10" fmla="*/ 95250 w 580664"/>
                <a:gd name="connsiteY10" fmla="*/ 35722 h 536031"/>
                <a:gd name="connsiteX0" fmla="*/ 95250 w 580664"/>
                <a:gd name="connsiteY0" fmla="*/ 43438 h 543747"/>
                <a:gd name="connsiteX1" fmla="*/ 285749 w 580664"/>
                <a:gd name="connsiteY1" fmla="*/ 233938 h 543747"/>
                <a:gd name="connsiteX2" fmla="*/ 476249 w 580664"/>
                <a:gd name="connsiteY2" fmla="*/ 43438 h 543747"/>
                <a:gd name="connsiteX3" fmla="*/ 571499 w 580664"/>
                <a:gd name="connsiteY3" fmla="*/ 43438 h 543747"/>
                <a:gd name="connsiteX4" fmla="*/ 571499 w 580664"/>
                <a:gd name="connsiteY4" fmla="*/ 519688 h 543747"/>
                <a:gd name="connsiteX5" fmla="*/ 476249 w 580664"/>
                <a:gd name="connsiteY5" fmla="*/ 519688 h 543747"/>
                <a:gd name="connsiteX6" fmla="*/ 285749 w 580664"/>
                <a:gd name="connsiteY6" fmla="*/ 329188 h 543747"/>
                <a:gd name="connsiteX7" fmla="*/ 95250 w 580664"/>
                <a:gd name="connsiteY7" fmla="*/ 519688 h 543747"/>
                <a:gd name="connsiteX8" fmla="*/ 0 w 580664"/>
                <a:gd name="connsiteY8" fmla="*/ 519688 h 543747"/>
                <a:gd name="connsiteX9" fmla="*/ 0 w 580664"/>
                <a:gd name="connsiteY9" fmla="*/ 43438 h 543747"/>
                <a:gd name="connsiteX10" fmla="*/ 95250 w 580664"/>
                <a:gd name="connsiteY10" fmla="*/ 43438 h 543747"/>
                <a:gd name="connsiteX0" fmla="*/ 95250 w 580664"/>
                <a:gd name="connsiteY0" fmla="*/ 43438 h 519688"/>
                <a:gd name="connsiteX1" fmla="*/ 285749 w 580664"/>
                <a:gd name="connsiteY1" fmla="*/ 233938 h 519688"/>
                <a:gd name="connsiteX2" fmla="*/ 476249 w 580664"/>
                <a:gd name="connsiteY2" fmla="*/ 43438 h 519688"/>
                <a:gd name="connsiteX3" fmla="*/ 571499 w 580664"/>
                <a:gd name="connsiteY3" fmla="*/ 43438 h 519688"/>
                <a:gd name="connsiteX4" fmla="*/ 571499 w 580664"/>
                <a:gd name="connsiteY4" fmla="*/ 519688 h 519688"/>
                <a:gd name="connsiteX5" fmla="*/ 476249 w 580664"/>
                <a:gd name="connsiteY5" fmla="*/ 519688 h 519688"/>
                <a:gd name="connsiteX6" fmla="*/ 285749 w 580664"/>
                <a:gd name="connsiteY6" fmla="*/ 329188 h 519688"/>
                <a:gd name="connsiteX7" fmla="*/ 95250 w 580664"/>
                <a:gd name="connsiteY7" fmla="*/ 519688 h 519688"/>
                <a:gd name="connsiteX8" fmla="*/ 0 w 580664"/>
                <a:gd name="connsiteY8" fmla="*/ 519688 h 519688"/>
                <a:gd name="connsiteX9" fmla="*/ 0 w 580664"/>
                <a:gd name="connsiteY9" fmla="*/ 43438 h 519688"/>
                <a:gd name="connsiteX10" fmla="*/ 95250 w 580664"/>
                <a:gd name="connsiteY10" fmla="*/ 43438 h 519688"/>
                <a:gd name="connsiteX0" fmla="*/ 95250 w 580664"/>
                <a:gd name="connsiteY0" fmla="*/ 0 h 476250"/>
                <a:gd name="connsiteX1" fmla="*/ 285749 w 580664"/>
                <a:gd name="connsiteY1" fmla="*/ 190500 h 476250"/>
                <a:gd name="connsiteX2" fmla="*/ 476249 w 580664"/>
                <a:gd name="connsiteY2" fmla="*/ 0 h 476250"/>
                <a:gd name="connsiteX3" fmla="*/ 571499 w 580664"/>
                <a:gd name="connsiteY3" fmla="*/ 0 h 476250"/>
                <a:gd name="connsiteX4" fmla="*/ 571499 w 580664"/>
                <a:gd name="connsiteY4" fmla="*/ 476250 h 476250"/>
                <a:gd name="connsiteX5" fmla="*/ 476249 w 580664"/>
                <a:gd name="connsiteY5" fmla="*/ 476250 h 476250"/>
                <a:gd name="connsiteX6" fmla="*/ 285749 w 580664"/>
                <a:gd name="connsiteY6" fmla="*/ 285750 h 476250"/>
                <a:gd name="connsiteX7" fmla="*/ 95250 w 580664"/>
                <a:gd name="connsiteY7" fmla="*/ 476250 h 476250"/>
                <a:gd name="connsiteX8" fmla="*/ 0 w 580664"/>
                <a:gd name="connsiteY8" fmla="*/ 476250 h 476250"/>
                <a:gd name="connsiteX9" fmla="*/ 0 w 580664"/>
                <a:gd name="connsiteY9" fmla="*/ 0 h 476250"/>
                <a:gd name="connsiteX10" fmla="*/ 95250 w 580664"/>
                <a:gd name="connsiteY10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0 w 571499"/>
                <a:gd name="connsiteY9" fmla="*/ 0 h 476250"/>
                <a:gd name="connsiteX10" fmla="*/ 95250 w 571499"/>
                <a:gd name="connsiteY10" fmla="*/ 0 h 476250"/>
                <a:gd name="connsiteX0" fmla="*/ 99715 w 575964"/>
                <a:gd name="connsiteY0" fmla="*/ 0 h 476250"/>
                <a:gd name="connsiteX1" fmla="*/ 290214 w 575964"/>
                <a:gd name="connsiteY1" fmla="*/ 190500 h 476250"/>
                <a:gd name="connsiteX2" fmla="*/ 480714 w 575964"/>
                <a:gd name="connsiteY2" fmla="*/ 0 h 476250"/>
                <a:gd name="connsiteX3" fmla="*/ 575964 w 575964"/>
                <a:gd name="connsiteY3" fmla="*/ 0 h 476250"/>
                <a:gd name="connsiteX4" fmla="*/ 575964 w 575964"/>
                <a:gd name="connsiteY4" fmla="*/ 476250 h 476250"/>
                <a:gd name="connsiteX5" fmla="*/ 480714 w 575964"/>
                <a:gd name="connsiteY5" fmla="*/ 476250 h 476250"/>
                <a:gd name="connsiteX6" fmla="*/ 290214 w 575964"/>
                <a:gd name="connsiteY6" fmla="*/ 285750 h 476250"/>
                <a:gd name="connsiteX7" fmla="*/ 99715 w 575964"/>
                <a:gd name="connsiteY7" fmla="*/ 476250 h 476250"/>
                <a:gd name="connsiteX8" fmla="*/ 4465 w 575964"/>
                <a:gd name="connsiteY8" fmla="*/ 476250 h 476250"/>
                <a:gd name="connsiteX9" fmla="*/ 0 w 575964"/>
                <a:gd name="connsiteY9" fmla="*/ 229621 h 476250"/>
                <a:gd name="connsiteX10" fmla="*/ 4465 w 575964"/>
                <a:gd name="connsiteY10" fmla="*/ 0 h 476250"/>
                <a:gd name="connsiteX11" fmla="*/ 99715 w 575964"/>
                <a:gd name="connsiteY11" fmla="*/ 0 h 476250"/>
                <a:gd name="connsiteX0" fmla="*/ 107156 w 583405"/>
                <a:gd name="connsiteY0" fmla="*/ 0 h 476250"/>
                <a:gd name="connsiteX1" fmla="*/ 297655 w 583405"/>
                <a:gd name="connsiteY1" fmla="*/ 190500 h 476250"/>
                <a:gd name="connsiteX2" fmla="*/ 488155 w 583405"/>
                <a:gd name="connsiteY2" fmla="*/ 0 h 476250"/>
                <a:gd name="connsiteX3" fmla="*/ 583405 w 583405"/>
                <a:gd name="connsiteY3" fmla="*/ 0 h 476250"/>
                <a:gd name="connsiteX4" fmla="*/ 583405 w 583405"/>
                <a:gd name="connsiteY4" fmla="*/ 476250 h 476250"/>
                <a:gd name="connsiteX5" fmla="*/ 488155 w 583405"/>
                <a:gd name="connsiteY5" fmla="*/ 476250 h 476250"/>
                <a:gd name="connsiteX6" fmla="*/ 297655 w 583405"/>
                <a:gd name="connsiteY6" fmla="*/ 285750 h 476250"/>
                <a:gd name="connsiteX7" fmla="*/ 107156 w 583405"/>
                <a:gd name="connsiteY7" fmla="*/ 476250 h 476250"/>
                <a:gd name="connsiteX8" fmla="*/ 11906 w 583405"/>
                <a:gd name="connsiteY8" fmla="*/ 476250 h 476250"/>
                <a:gd name="connsiteX9" fmla="*/ 11906 w 583405"/>
                <a:gd name="connsiteY9" fmla="*/ 0 h 476250"/>
                <a:gd name="connsiteX10" fmla="*/ 107156 w 583405"/>
                <a:gd name="connsiteY10" fmla="*/ 0 h 476250"/>
                <a:gd name="connsiteX0" fmla="*/ 108465 w 584714"/>
                <a:gd name="connsiteY0" fmla="*/ 0 h 476250"/>
                <a:gd name="connsiteX1" fmla="*/ 298964 w 584714"/>
                <a:gd name="connsiteY1" fmla="*/ 190500 h 476250"/>
                <a:gd name="connsiteX2" fmla="*/ 489464 w 584714"/>
                <a:gd name="connsiteY2" fmla="*/ 0 h 476250"/>
                <a:gd name="connsiteX3" fmla="*/ 584714 w 584714"/>
                <a:gd name="connsiteY3" fmla="*/ 0 h 476250"/>
                <a:gd name="connsiteX4" fmla="*/ 584714 w 584714"/>
                <a:gd name="connsiteY4" fmla="*/ 476250 h 476250"/>
                <a:gd name="connsiteX5" fmla="*/ 489464 w 584714"/>
                <a:gd name="connsiteY5" fmla="*/ 476250 h 476250"/>
                <a:gd name="connsiteX6" fmla="*/ 298964 w 584714"/>
                <a:gd name="connsiteY6" fmla="*/ 285750 h 476250"/>
                <a:gd name="connsiteX7" fmla="*/ 108465 w 584714"/>
                <a:gd name="connsiteY7" fmla="*/ 476250 h 476250"/>
                <a:gd name="connsiteX8" fmla="*/ 13215 w 584714"/>
                <a:gd name="connsiteY8" fmla="*/ 476250 h 476250"/>
                <a:gd name="connsiteX9" fmla="*/ 805 w 584714"/>
                <a:gd name="connsiteY9" fmla="*/ 223242 h 476250"/>
                <a:gd name="connsiteX10" fmla="*/ 13215 w 584714"/>
                <a:gd name="connsiteY10" fmla="*/ 0 h 476250"/>
                <a:gd name="connsiteX11" fmla="*/ 108465 w 584714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190171 w 571499"/>
                <a:gd name="connsiteY9" fmla="*/ 238125 h 476250"/>
                <a:gd name="connsiteX10" fmla="*/ 0 w 571499"/>
                <a:gd name="connsiteY10" fmla="*/ 0 h 476250"/>
                <a:gd name="connsiteX11" fmla="*/ 95250 w 571499"/>
                <a:gd name="connsiteY11" fmla="*/ 0 h 476250"/>
                <a:gd name="connsiteX0" fmla="*/ 95250 w 575471"/>
                <a:gd name="connsiteY0" fmla="*/ 0 h 476250"/>
                <a:gd name="connsiteX1" fmla="*/ 285749 w 575471"/>
                <a:gd name="connsiteY1" fmla="*/ 190500 h 476250"/>
                <a:gd name="connsiteX2" fmla="*/ 476249 w 575471"/>
                <a:gd name="connsiteY2" fmla="*/ 0 h 476250"/>
                <a:gd name="connsiteX3" fmla="*/ 571499 w 575471"/>
                <a:gd name="connsiteY3" fmla="*/ 0 h 476250"/>
                <a:gd name="connsiteX4" fmla="*/ 575471 w 575471"/>
                <a:gd name="connsiteY4" fmla="*/ 241846 h 476250"/>
                <a:gd name="connsiteX5" fmla="*/ 571499 w 575471"/>
                <a:gd name="connsiteY5" fmla="*/ 476250 h 476250"/>
                <a:gd name="connsiteX6" fmla="*/ 476249 w 575471"/>
                <a:gd name="connsiteY6" fmla="*/ 476250 h 476250"/>
                <a:gd name="connsiteX7" fmla="*/ 285749 w 575471"/>
                <a:gd name="connsiteY7" fmla="*/ 285750 h 476250"/>
                <a:gd name="connsiteX8" fmla="*/ 95250 w 575471"/>
                <a:gd name="connsiteY8" fmla="*/ 476250 h 476250"/>
                <a:gd name="connsiteX9" fmla="*/ 0 w 575471"/>
                <a:gd name="connsiteY9" fmla="*/ 476250 h 476250"/>
                <a:gd name="connsiteX10" fmla="*/ 190171 w 575471"/>
                <a:gd name="connsiteY10" fmla="*/ 238125 h 476250"/>
                <a:gd name="connsiteX11" fmla="*/ 0 w 575471"/>
                <a:gd name="connsiteY11" fmla="*/ 0 h 476250"/>
                <a:gd name="connsiteX12" fmla="*/ 95250 w 575471"/>
                <a:gd name="connsiteY12" fmla="*/ 0 h 476250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3580"/>
                <a:gd name="connsiteY0" fmla="*/ 17639 h 493889"/>
                <a:gd name="connsiteX1" fmla="*/ 285749 w 573580"/>
                <a:gd name="connsiteY1" fmla="*/ 208139 h 493889"/>
                <a:gd name="connsiteX2" fmla="*/ 476249 w 573580"/>
                <a:gd name="connsiteY2" fmla="*/ 17639 h 493889"/>
                <a:gd name="connsiteX3" fmla="*/ 571499 w 573580"/>
                <a:gd name="connsiteY3" fmla="*/ 17639 h 493889"/>
                <a:gd name="connsiteX4" fmla="*/ 380834 w 573580"/>
                <a:gd name="connsiteY4" fmla="*/ 255765 h 493889"/>
                <a:gd name="connsiteX5" fmla="*/ 571499 w 573580"/>
                <a:gd name="connsiteY5" fmla="*/ 493889 h 493889"/>
                <a:gd name="connsiteX6" fmla="*/ 476249 w 573580"/>
                <a:gd name="connsiteY6" fmla="*/ 493889 h 493889"/>
                <a:gd name="connsiteX7" fmla="*/ 285749 w 573580"/>
                <a:gd name="connsiteY7" fmla="*/ 303389 h 493889"/>
                <a:gd name="connsiteX8" fmla="*/ 95250 w 573580"/>
                <a:gd name="connsiteY8" fmla="*/ 493889 h 493889"/>
                <a:gd name="connsiteX9" fmla="*/ 0 w 573580"/>
                <a:gd name="connsiteY9" fmla="*/ 493889 h 493889"/>
                <a:gd name="connsiteX10" fmla="*/ 190171 w 573580"/>
                <a:gd name="connsiteY10" fmla="*/ 255764 h 493889"/>
                <a:gd name="connsiteX11" fmla="*/ 0 w 573580"/>
                <a:gd name="connsiteY11" fmla="*/ 17639 h 493889"/>
                <a:gd name="connsiteX12" fmla="*/ 95250 w 573580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190171 w 571499"/>
                <a:gd name="connsiteY10" fmla="*/ 238125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76249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99992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67312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535782"/>
                <a:gd name="connsiteX1" fmla="*/ 357811 w 715068"/>
                <a:gd name="connsiteY1" fmla="*/ 190500 h 535782"/>
                <a:gd name="connsiteX2" fmla="*/ 548311 w 715068"/>
                <a:gd name="connsiteY2" fmla="*/ 0 h 535782"/>
                <a:gd name="connsiteX3" fmla="*/ 643561 w 715068"/>
                <a:gd name="connsiteY3" fmla="*/ 0 h 535782"/>
                <a:gd name="connsiteX4" fmla="*/ 429041 w 715068"/>
                <a:gd name="connsiteY4" fmla="*/ 238126 h 535782"/>
                <a:gd name="connsiteX5" fmla="*/ 715068 w 715068"/>
                <a:gd name="connsiteY5" fmla="*/ 476251 h 535782"/>
                <a:gd name="connsiteX6" fmla="*/ 572054 w 715068"/>
                <a:gd name="connsiteY6" fmla="*/ 476250 h 535782"/>
                <a:gd name="connsiteX7" fmla="*/ 357811 w 715068"/>
                <a:gd name="connsiteY7" fmla="*/ 285750 h 535782"/>
                <a:gd name="connsiteX8" fmla="*/ 71507 w 715068"/>
                <a:gd name="connsiteY8" fmla="*/ 535782 h 535782"/>
                <a:gd name="connsiteX9" fmla="*/ 0 w 715068"/>
                <a:gd name="connsiteY9" fmla="*/ 476250 h 535782"/>
                <a:gd name="connsiteX10" fmla="*/ 286027 w 715068"/>
                <a:gd name="connsiteY10" fmla="*/ 238126 h 535782"/>
                <a:gd name="connsiteX11" fmla="*/ 72062 w 715068"/>
                <a:gd name="connsiteY11" fmla="*/ 0 h 535782"/>
                <a:gd name="connsiteX12" fmla="*/ 167312 w 715068"/>
                <a:gd name="connsiteY12" fmla="*/ 0 h 535782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67312 w 715068"/>
                <a:gd name="connsiteY12" fmla="*/ 0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715068 w 715068"/>
                <a:gd name="connsiteY3" fmla="*/ 1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8185"/>
                <a:gd name="connsiteY0" fmla="*/ 17639 h 493889"/>
                <a:gd name="connsiteX1" fmla="*/ 357811 w 718185"/>
                <a:gd name="connsiteY1" fmla="*/ 208138 h 493889"/>
                <a:gd name="connsiteX2" fmla="*/ 572055 w 718185"/>
                <a:gd name="connsiteY2" fmla="*/ 17639 h 493889"/>
                <a:gd name="connsiteX3" fmla="*/ 715068 w 718185"/>
                <a:gd name="connsiteY3" fmla="*/ 17639 h 493889"/>
                <a:gd name="connsiteX4" fmla="*/ 429041 w 718185"/>
                <a:gd name="connsiteY4" fmla="*/ 255764 h 493889"/>
                <a:gd name="connsiteX5" fmla="*/ 715068 w 718185"/>
                <a:gd name="connsiteY5" fmla="*/ 493889 h 493889"/>
                <a:gd name="connsiteX6" fmla="*/ 572054 w 718185"/>
                <a:gd name="connsiteY6" fmla="*/ 493888 h 493889"/>
                <a:gd name="connsiteX7" fmla="*/ 357811 w 718185"/>
                <a:gd name="connsiteY7" fmla="*/ 303388 h 493889"/>
                <a:gd name="connsiteX8" fmla="*/ 143014 w 718185"/>
                <a:gd name="connsiteY8" fmla="*/ 493888 h 493889"/>
                <a:gd name="connsiteX9" fmla="*/ 0 w 718185"/>
                <a:gd name="connsiteY9" fmla="*/ 493888 h 493889"/>
                <a:gd name="connsiteX10" fmla="*/ 286027 w 718185"/>
                <a:gd name="connsiteY10" fmla="*/ 255764 h 493889"/>
                <a:gd name="connsiteX11" fmla="*/ 1 w 718185"/>
                <a:gd name="connsiteY11" fmla="*/ 17639 h 493889"/>
                <a:gd name="connsiteX12" fmla="*/ 143014 w 718185"/>
                <a:gd name="connsiteY12" fmla="*/ 17639 h 493889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8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0 h 476250"/>
                <a:gd name="connsiteX3" fmla="*/ 429041 w 715068"/>
                <a:gd name="connsiteY3" fmla="*/ 238125 h 476250"/>
                <a:gd name="connsiteX4" fmla="*/ 715068 w 715068"/>
                <a:gd name="connsiteY4" fmla="*/ 476250 h 476250"/>
                <a:gd name="connsiteX5" fmla="*/ 572054 w 715068"/>
                <a:gd name="connsiteY5" fmla="*/ 476249 h 476250"/>
                <a:gd name="connsiteX6" fmla="*/ 357811 w 715068"/>
                <a:gd name="connsiteY6" fmla="*/ 285749 h 476250"/>
                <a:gd name="connsiteX7" fmla="*/ 143014 w 715068"/>
                <a:gd name="connsiteY7" fmla="*/ 476249 h 476250"/>
                <a:gd name="connsiteX8" fmla="*/ 0 w 715068"/>
                <a:gd name="connsiteY8" fmla="*/ 476249 h 476250"/>
                <a:gd name="connsiteX9" fmla="*/ 286028 w 715068"/>
                <a:gd name="connsiteY9" fmla="*/ 238125 h 476250"/>
                <a:gd name="connsiteX10" fmla="*/ 1 w 715068"/>
                <a:gd name="connsiteY10" fmla="*/ 0 h 476250"/>
                <a:gd name="connsiteX11" fmla="*/ 143014 w 715068"/>
                <a:gd name="connsiteY11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429041 w 715068"/>
                <a:gd name="connsiteY2" fmla="*/ 238125 h 476250"/>
                <a:gd name="connsiteX3" fmla="*/ 715068 w 715068"/>
                <a:gd name="connsiteY3" fmla="*/ 476250 h 476250"/>
                <a:gd name="connsiteX4" fmla="*/ 572054 w 715068"/>
                <a:gd name="connsiteY4" fmla="*/ 476249 h 476250"/>
                <a:gd name="connsiteX5" fmla="*/ 357811 w 715068"/>
                <a:gd name="connsiteY5" fmla="*/ 285749 h 476250"/>
                <a:gd name="connsiteX6" fmla="*/ 143014 w 715068"/>
                <a:gd name="connsiteY6" fmla="*/ 476249 h 476250"/>
                <a:gd name="connsiteX7" fmla="*/ 0 w 715068"/>
                <a:gd name="connsiteY7" fmla="*/ 476249 h 476250"/>
                <a:gd name="connsiteX8" fmla="*/ 286028 w 715068"/>
                <a:gd name="connsiteY8" fmla="*/ 238125 h 476250"/>
                <a:gd name="connsiteX9" fmla="*/ 1 w 715068"/>
                <a:gd name="connsiteY9" fmla="*/ 0 h 476250"/>
                <a:gd name="connsiteX10" fmla="*/ 143014 w 715068"/>
                <a:gd name="connsiteY10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476250 h 476250"/>
                <a:gd name="connsiteX3" fmla="*/ 572054 w 715068"/>
                <a:gd name="connsiteY3" fmla="*/ 476249 h 476250"/>
                <a:gd name="connsiteX4" fmla="*/ 357811 w 715068"/>
                <a:gd name="connsiteY4" fmla="*/ 285749 h 476250"/>
                <a:gd name="connsiteX5" fmla="*/ 143014 w 715068"/>
                <a:gd name="connsiteY5" fmla="*/ 476249 h 476250"/>
                <a:gd name="connsiteX6" fmla="*/ 0 w 715068"/>
                <a:gd name="connsiteY6" fmla="*/ 476249 h 476250"/>
                <a:gd name="connsiteX7" fmla="*/ 286028 w 715068"/>
                <a:gd name="connsiteY7" fmla="*/ 238125 h 476250"/>
                <a:gd name="connsiteX8" fmla="*/ 1 w 715068"/>
                <a:gd name="connsiteY8" fmla="*/ 0 h 476250"/>
                <a:gd name="connsiteX9" fmla="*/ 143014 w 715068"/>
                <a:gd name="connsiteY9" fmla="*/ 0 h 476250"/>
                <a:gd name="connsiteX0" fmla="*/ 143014 w 715068"/>
                <a:gd name="connsiteY0" fmla="*/ 0 h 476250"/>
                <a:gd name="connsiteX1" fmla="*/ 715068 w 715068"/>
                <a:gd name="connsiteY1" fmla="*/ 476250 h 476250"/>
                <a:gd name="connsiteX2" fmla="*/ 572054 w 715068"/>
                <a:gd name="connsiteY2" fmla="*/ 476249 h 476250"/>
                <a:gd name="connsiteX3" fmla="*/ 357811 w 715068"/>
                <a:gd name="connsiteY3" fmla="*/ 285749 h 476250"/>
                <a:gd name="connsiteX4" fmla="*/ 143014 w 715068"/>
                <a:gd name="connsiteY4" fmla="*/ 476249 h 476250"/>
                <a:gd name="connsiteX5" fmla="*/ 0 w 715068"/>
                <a:gd name="connsiteY5" fmla="*/ 476249 h 476250"/>
                <a:gd name="connsiteX6" fmla="*/ 286028 w 715068"/>
                <a:gd name="connsiteY6" fmla="*/ 238125 h 476250"/>
                <a:gd name="connsiteX7" fmla="*/ 1 w 715068"/>
                <a:gd name="connsiteY7" fmla="*/ 0 h 476250"/>
                <a:gd name="connsiteX8" fmla="*/ 143014 w 715068"/>
                <a:gd name="connsiteY8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143013 w 715067"/>
                <a:gd name="connsiteY4" fmla="*/ 476249 h 476250"/>
                <a:gd name="connsiteX5" fmla="*/ 286027 w 715067"/>
                <a:gd name="connsiteY5" fmla="*/ 238125 h 476250"/>
                <a:gd name="connsiteX6" fmla="*/ 0 w 715067"/>
                <a:gd name="connsiteY6" fmla="*/ 0 h 476250"/>
                <a:gd name="connsiteX7" fmla="*/ 143013 w 715067"/>
                <a:gd name="connsiteY7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286027 w 715067"/>
                <a:gd name="connsiteY4" fmla="*/ 238125 h 476250"/>
                <a:gd name="connsiteX5" fmla="*/ 0 w 715067"/>
                <a:gd name="connsiteY5" fmla="*/ 0 h 476250"/>
                <a:gd name="connsiteX6" fmla="*/ 143013 w 715067"/>
                <a:gd name="connsiteY6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286027 w 715067"/>
                <a:gd name="connsiteY3" fmla="*/ 238125 h 476250"/>
                <a:gd name="connsiteX4" fmla="*/ 0 w 715067"/>
                <a:gd name="connsiteY4" fmla="*/ 0 h 476250"/>
                <a:gd name="connsiteX5" fmla="*/ 143013 w 715067"/>
                <a:gd name="connsiteY5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0 w 715067"/>
                <a:gd name="connsiteY3" fmla="*/ 0 h 476250"/>
                <a:gd name="connsiteX4" fmla="*/ 143013 w 715067"/>
                <a:gd name="connsiteY4" fmla="*/ 0 h 476250"/>
                <a:gd name="connsiteX0" fmla="*/ 71507 w 643561"/>
                <a:gd name="connsiteY0" fmla="*/ 0 h 476250"/>
                <a:gd name="connsiteX1" fmla="*/ 643561 w 643561"/>
                <a:gd name="connsiteY1" fmla="*/ 476250 h 476250"/>
                <a:gd name="connsiteX2" fmla="*/ 500547 w 643561"/>
                <a:gd name="connsiteY2" fmla="*/ 476249 h 476250"/>
                <a:gd name="connsiteX3" fmla="*/ 0 w 643561"/>
                <a:gd name="connsiteY3" fmla="*/ 59532 h 476250"/>
                <a:gd name="connsiteX4" fmla="*/ 71507 w 643561"/>
                <a:gd name="connsiteY4" fmla="*/ 0 h 476250"/>
                <a:gd name="connsiteX0" fmla="*/ 71507 w 572054"/>
                <a:gd name="connsiteY0" fmla="*/ 0 h 476249"/>
                <a:gd name="connsiteX1" fmla="*/ 572054 w 572054"/>
                <a:gd name="connsiteY1" fmla="*/ 416718 h 476249"/>
                <a:gd name="connsiteX2" fmla="*/ 500547 w 572054"/>
                <a:gd name="connsiteY2" fmla="*/ 476249 h 476249"/>
                <a:gd name="connsiteX3" fmla="*/ 0 w 572054"/>
                <a:gd name="connsiteY3" fmla="*/ 59532 h 476249"/>
                <a:gd name="connsiteX4" fmla="*/ 71507 w 572054"/>
                <a:gd name="connsiteY4" fmla="*/ 0 h 476249"/>
                <a:gd name="connsiteX0" fmla="*/ 71507 w 572054"/>
                <a:gd name="connsiteY0" fmla="*/ 0 h 476249"/>
                <a:gd name="connsiteX1" fmla="*/ 303904 w 572054"/>
                <a:gd name="connsiteY1" fmla="*/ 189755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460325 w 572054"/>
                <a:gd name="connsiteY2" fmla="*/ 319980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5753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84349 w 572054"/>
                <a:gd name="connsiteY2" fmla="*/ 200918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49708 w 572054"/>
                <a:gd name="connsiteY3" fmla="*/ 182314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67585 w 572054"/>
                <a:gd name="connsiteY5" fmla="*/ 290214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357534 w 572054"/>
                <a:gd name="connsiteY5" fmla="*/ 238125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14521 w 572054"/>
                <a:gd name="connsiteY7" fmla="*/ 238125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406695 w 572054"/>
                <a:gd name="connsiteY7" fmla="*/ 386952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1 w 572054"/>
                <a:gd name="connsiteY7" fmla="*/ 416718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99435 w 572054"/>
                <a:gd name="connsiteY7" fmla="*/ 450204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71507 w 572054"/>
                <a:gd name="connsiteY7" fmla="*/ 476249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326250 w 572054"/>
                <a:gd name="connsiteY7" fmla="*/ 476249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86027 w 572054"/>
                <a:gd name="connsiteY7" fmla="*/ 297656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572054" h="476249">
                  <a:moveTo>
                    <a:pt x="71507" y="0"/>
                  </a:moveTo>
                  <a:lnTo>
                    <a:pt x="286027" y="178593"/>
                  </a:lnTo>
                  <a:lnTo>
                    <a:pt x="500547" y="0"/>
                  </a:lnTo>
                  <a:lnTo>
                    <a:pt x="572054" y="59531"/>
                  </a:lnTo>
                  <a:lnTo>
                    <a:pt x="357534" y="238125"/>
                  </a:lnTo>
                  <a:lnTo>
                    <a:pt x="572054" y="416718"/>
                  </a:lnTo>
                  <a:lnTo>
                    <a:pt x="500547" y="476249"/>
                  </a:lnTo>
                  <a:lnTo>
                    <a:pt x="286027" y="297656"/>
                  </a:lnTo>
                  <a:lnTo>
                    <a:pt x="71507" y="476249"/>
                  </a:lnTo>
                  <a:lnTo>
                    <a:pt x="1" y="416718"/>
                  </a:lnTo>
                  <a:lnTo>
                    <a:pt x="214521" y="238125"/>
                  </a:lnTo>
                  <a:lnTo>
                    <a:pt x="0" y="59532"/>
                  </a:lnTo>
                  <a:lnTo>
                    <a:pt x="71507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2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210" name="td_name2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td_name2#block">
            <a:extLst>
              <a:ext uri="{FF2B5EF4-FFF2-40B4-BE49-F238E27FC236}">
                <a16:creationId xmlns:a16="http://schemas.microsoft.com/office/drawing/2014/main" id="{AE0B5CDD-0FBB-4773-9517-6A75793A7DFA}"/>
              </a:ext>
            </a:extLst>
          </xdr:cNvPr>
          <xdr:cNvSpPr/>
        </xdr:nvSpPr>
        <xdr:spPr>
          <a:xfrm>
            <a:off x="19935825" y="3067050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игр2</a:t>
            </a:r>
          </a:p>
        </xdr:txBody>
      </xdr:sp>
      <xdr:sp macro="" textlink="">
        <xdr:nvSpPr>
          <xdr:cNvPr id="1211" name="td_rating2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td_rating2#block">
            <a:extLst>
              <a:ext uri="{FF2B5EF4-FFF2-40B4-BE49-F238E27FC236}">
                <a16:creationId xmlns:a16="http://schemas.microsoft.com/office/drawing/2014/main" id="{86AAB509-E3FE-4186-9D5E-666CDFE186F6}"/>
              </a:ext>
            </a:extLst>
          </xdr:cNvPr>
          <xdr:cNvSpPr/>
        </xdr:nvSpPr>
        <xdr:spPr>
          <a:xfrm>
            <a:off x="19935825" y="3343275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р2</a:t>
            </a:r>
          </a:p>
        </xdr:txBody>
      </xdr:sp>
      <xdr:sp macro="" textlink="">
        <xdr:nvSpPr>
          <xdr:cNvPr id="1212" name="td_avatar2#block" descr="objects[obj_name]=new PIXI.Sprite();&#10;objects[obj_name].sx=objects[obj_name].x=$x;&#10;objects[obj_name].sy=objects[obj_name].y=$y;&#10;objects[obj_name].width=$w;&#10;objects[obj_name].height=$h;&#10;#&#10;&#10;" title="td_avatar2#block">
            <a:extLst>
              <a:ext uri="{FF2B5EF4-FFF2-40B4-BE49-F238E27FC236}">
                <a16:creationId xmlns:a16="http://schemas.microsoft.com/office/drawing/2014/main" id="{DECB3AA4-4B12-4837-B32D-7FDBC372CBC7}"/>
              </a:ext>
            </a:extLst>
          </xdr:cNvPr>
          <xdr:cNvSpPr/>
        </xdr:nvSpPr>
        <xdr:spPr>
          <a:xfrm>
            <a:off x="20031075" y="1724025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avatar2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213" name="td_title#block" descr="objects[obj_name]=new PIXI.BitmapText(['Идет игра...','Game is on...'][LANG], {fontName: 'mfont',fontSize: 25,align: 'center'});&#10;objects[obj_name].anchor.set(0.5,0);&#10;objects[obj_name].x=$x;&#10;objects[obj_name].y=$y;&#10;objects[obj_name].base_tint=objects[obj_name].tint=$t_col;##png" title="td_name1#block">
            <a:extLst>
              <a:ext uri="{FF2B5EF4-FFF2-40B4-BE49-F238E27FC236}">
                <a16:creationId xmlns:a16="http://schemas.microsoft.com/office/drawing/2014/main" id="{97155D31-6458-4613-BFDF-96799818E2A4}"/>
              </a:ext>
            </a:extLst>
          </xdr:cNvPr>
          <xdr:cNvSpPr/>
        </xdr:nvSpPr>
        <xdr:spPr>
          <a:xfrm>
            <a:off x="19078575" y="1343025"/>
            <a:ext cx="1524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идет</a:t>
            </a:r>
            <a:r>
              <a:rPr lang="ru-RU" sz="1100" b="1" cap="none" spc="0" baseline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 игра</a:t>
            </a:r>
            <a:endParaRPr lang="ru-RU" sz="1100" b="1" cap="none" spc="0">
              <a:ln>
                <a:noFill/>
              </a:ln>
              <a:solidFill>
                <a:schemeClr val="bg1"/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6979</xdr:colOff>
      <xdr:row>9</xdr:row>
      <xdr:rowOff>76200</xdr:rowOff>
    </xdr:from>
    <xdr:to>
      <xdr:col>34</xdr:col>
      <xdr:colOff>71419</xdr:colOff>
      <xdr:row>15</xdr:row>
      <xdr:rowOff>19050</xdr:rowOff>
    </xdr:to>
    <xdr:sp macro="" textlink="">
      <xdr:nvSpPr>
        <xdr:cNvPr id="4" name="Tile0">
          <a:extLst>
            <a:ext uri="{FF2B5EF4-FFF2-40B4-BE49-F238E27FC236}">
              <a16:creationId xmlns:a16="http://schemas.microsoft.com/office/drawing/2014/main" id="{D4F55D81-5B96-4563-B6EA-5C93BA286BD5}"/>
            </a:ext>
          </a:extLst>
        </xdr:cNvPr>
        <xdr:cNvSpPr/>
      </xdr:nvSpPr>
      <xdr:spPr>
        <a:xfrm>
          <a:off x="2864479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0</a:t>
          </a:r>
        </a:p>
      </xdr:txBody>
    </xdr:sp>
    <xdr:clientData/>
  </xdr:twoCellAnchor>
  <xdr:twoCellAnchor>
    <xdr:from>
      <xdr:col>35</xdr:col>
      <xdr:colOff>25663</xdr:colOff>
      <xdr:row>9</xdr:row>
      <xdr:rowOff>76200</xdr:rowOff>
    </xdr:from>
    <xdr:to>
      <xdr:col>39</xdr:col>
      <xdr:colOff>90103</xdr:colOff>
      <xdr:row>15</xdr:row>
      <xdr:rowOff>19050</xdr:rowOff>
    </xdr:to>
    <xdr:sp macro="" textlink="">
      <xdr:nvSpPr>
        <xdr:cNvPr id="252" name="Tile1">
          <a:extLst>
            <a:ext uri="{FF2B5EF4-FFF2-40B4-BE49-F238E27FC236}">
              <a16:creationId xmlns:a16="http://schemas.microsoft.com/office/drawing/2014/main" id="{946F69D1-09CE-41D6-BB38-93365E0AC387}"/>
            </a:ext>
          </a:extLst>
        </xdr:cNvPr>
        <xdr:cNvSpPr/>
      </xdr:nvSpPr>
      <xdr:spPr>
        <a:xfrm>
          <a:off x="3359413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</a:t>
          </a:r>
        </a:p>
      </xdr:txBody>
    </xdr:sp>
    <xdr:clientData/>
  </xdr:twoCellAnchor>
  <xdr:twoCellAnchor>
    <xdr:from>
      <xdr:col>40</xdr:col>
      <xdr:colOff>44347</xdr:colOff>
      <xdr:row>9</xdr:row>
      <xdr:rowOff>76200</xdr:rowOff>
    </xdr:from>
    <xdr:to>
      <xdr:col>45</xdr:col>
      <xdr:colOff>13537</xdr:colOff>
      <xdr:row>15</xdr:row>
      <xdr:rowOff>19050</xdr:rowOff>
    </xdr:to>
    <xdr:sp macro="" textlink="">
      <xdr:nvSpPr>
        <xdr:cNvPr id="253" name="Tile2">
          <a:extLst>
            <a:ext uri="{FF2B5EF4-FFF2-40B4-BE49-F238E27FC236}">
              <a16:creationId xmlns:a16="http://schemas.microsoft.com/office/drawing/2014/main" id="{74B8DA0A-90C7-4500-98BC-FC28C6574990}"/>
            </a:ext>
          </a:extLst>
        </xdr:cNvPr>
        <xdr:cNvSpPr/>
      </xdr:nvSpPr>
      <xdr:spPr>
        <a:xfrm>
          <a:off x="3854347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</a:t>
          </a:r>
        </a:p>
      </xdr:txBody>
    </xdr:sp>
    <xdr:clientData/>
  </xdr:twoCellAnchor>
  <xdr:twoCellAnchor>
    <xdr:from>
      <xdr:col>45</xdr:col>
      <xdr:colOff>63030</xdr:colOff>
      <xdr:row>9</xdr:row>
      <xdr:rowOff>76200</xdr:rowOff>
    </xdr:from>
    <xdr:to>
      <xdr:col>50</xdr:col>
      <xdr:colOff>32220</xdr:colOff>
      <xdr:row>15</xdr:row>
      <xdr:rowOff>19050</xdr:rowOff>
    </xdr:to>
    <xdr:sp macro="" textlink="">
      <xdr:nvSpPr>
        <xdr:cNvPr id="254" name="Tile3">
          <a:extLst>
            <a:ext uri="{FF2B5EF4-FFF2-40B4-BE49-F238E27FC236}">
              <a16:creationId xmlns:a16="http://schemas.microsoft.com/office/drawing/2014/main" id="{0E536DA4-04BD-4112-8E11-399975B75635}"/>
            </a:ext>
          </a:extLst>
        </xdr:cNvPr>
        <xdr:cNvSpPr/>
      </xdr:nvSpPr>
      <xdr:spPr>
        <a:xfrm>
          <a:off x="4349280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</a:t>
          </a:r>
        </a:p>
      </xdr:txBody>
    </xdr:sp>
    <xdr:clientData/>
  </xdr:twoCellAnchor>
  <xdr:twoCellAnchor>
    <xdr:from>
      <xdr:col>50</xdr:col>
      <xdr:colOff>81714</xdr:colOff>
      <xdr:row>9</xdr:row>
      <xdr:rowOff>76200</xdr:rowOff>
    </xdr:from>
    <xdr:to>
      <xdr:col>55</xdr:col>
      <xdr:colOff>50904</xdr:colOff>
      <xdr:row>15</xdr:row>
      <xdr:rowOff>19050</xdr:rowOff>
    </xdr:to>
    <xdr:sp macro="" textlink="">
      <xdr:nvSpPr>
        <xdr:cNvPr id="255" name="Tile4">
          <a:extLst>
            <a:ext uri="{FF2B5EF4-FFF2-40B4-BE49-F238E27FC236}">
              <a16:creationId xmlns:a16="http://schemas.microsoft.com/office/drawing/2014/main" id="{27D3C181-CA17-4C09-B54F-AF834BB9C220}"/>
            </a:ext>
          </a:extLst>
        </xdr:cNvPr>
        <xdr:cNvSpPr/>
      </xdr:nvSpPr>
      <xdr:spPr>
        <a:xfrm>
          <a:off x="4844214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</a:t>
          </a:r>
        </a:p>
      </xdr:txBody>
    </xdr:sp>
    <xdr:clientData/>
  </xdr:twoCellAnchor>
  <xdr:twoCellAnchor>
    <xdr:from>
      <xdr:col>56</xdr:col>
      <xdr:colOff>5147</xdr:colOff>
      <xdr:row>9</xdr:row>
      <xdr:rowOff>76200</xdr:rowOff>
    </xdr:from>
    <xdr:to>
      <xdr:col>60</xdr:col>
      <xdr:colOff>69587</xdr:colOff>
      <xdr:row>15</xdr:row>
      <xdr:rowOff>19050</xdr:rowOff>
    </xdr:to>
    <xdr:sp macro="" textlink="">
      <xdr:nvSpPr>
        <xdr:cNvPr id="256" name="Tile5">
          <a:extLst>
            <a:ext uri="{FF2B5EF4-FFF2-40B4-BE49-F238E27FC236}">
              <a16:creationId xmlns:a16="http://schemas.microsoft.com/office/drawing/2014/main" id="{8694D195-C8E3-4733-AF45-7936C777635C}"/>
            </a:ext>
          </a:extLst>
        </xdr:cNvPr>
        <xdr:cNvSpPr/>
      </xdr:nvSpPr>
      <xdr:spPr>
        <a:xfrm>
          <a:off x="5339147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</a:t>
          </a:r>
        </a:p>
      </xdr:txBody>
    </xdr:sp>
    <xdr:clientData/>
  </xdr:twoCellAnchor>
  <xdr:twoCellAnchor>
    <xdr:from>
      <xdr:col>61</xdr:col>
      <xdr:colOff>23831</xdr:colOff>
      <xdr:row>9</xdr:row>
      <xdr:rowOff>76200</xdr:rowOff>
    </xdr:from>
    <xdr:to>
      <xdr:col>65</xdr:col>
      <xdr:colOff>88271</xdr:colOff>
      <xdr:row>15</xdr:row>
      <xdr:rowOff>19050</xdr:rowOff>
    </xdr:to>
    <xdr:sp macro="" textlink="">
      <xdr:nvSpPr>
        <xdr:cNvPr id="257" name="Tile6">
          <a:extLst>
            <a:ext uri="{FF2B5EF4-FFF2-40B4-BE49-F238E27FC236}">
              <a16:creationId xmlns:a16="http://schemas.microsoft.com/office/drawing/2014/main" id="{6695F821-07C7-44CB-92E2-5F2C7E6EE744}"/>
            </a:ext>
          </a:extLst>
        </xdr:cNvPr>
        <xdr:cNvSpPr/>
      </xdr:nvSpPr>
      <xdr:spPr>
        <a:xfrm>
          <a:off x="5834081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</a:t>
          </a:r>
        </a:p>
      </xdr:txBody>
    </xdr:sp>
    <xdr:clientData/>
  </xdr:twoCellAnchor>
  <xdr:twoCellAnchor>
    <xdr:from>
      <xdr:col>27</xdr:col>
      <xdr:colOff>45263</xdr:colOff>
      <xdr:row>14</xdr:row>
      <xdr:rowOff>28575</xdr:rowOff>
    </xdr:from>
    <xdr:to>
      <xdr:col>32</xdr:col>
      <xdr:colOff>14453</xdr:colOff>
      <xdr:row>19</xdr:row>
      <xdr:rowOff>66675</xdr:rowOff>
    </xdr:to>
    <xdr:sp macro="" textlink="">
      <xdr:nvSpPr>
        <xdr:cNvPr id="258" name="Tile7">
          <a:extLst>
            <a:ext uri="{FF2B5EF4-FFF2-40B4-BE49-F238E27FC236}">
              <a16:creationId xmlns:a16="http://schemas.microsoft.com/office/drawing/2014/main" id="{AB0FE340-3D72-4A6C-8D0B-12302A62DB9A}"/>
            </a:ext>
          </a:extLst>
        </xdr:cNvPr>
        <xdr:cNvSpPr/>
      </xdr:nvSpPr>
      <xdr:spPr>
        <a:xfrm>
          <a:off x="2617013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</a:t>
          </a:r>
        </a:p>
      </xdr:txBody>
    </xdr:sp>
    <xdr:clientData/>
  </xdr:twoCellAnchor>
  <xdr:twoCellAnchor>
    <xdr:from>
      <xdr:col>32</xdr:col>
      <xdr:colOff>63946</xdr:colOff>
      <xdr:row>14</xdr:row>
      <xdr:rowOff>28575</xdr:rowOff>
    </xdr:from>
    <xdr:to>
      <xdr:col>37</xdr:col>
      <xdr:colOff>33136</xdr:colOff>
      <xdr:row>19</xdr:row>
      <xdr:rowOff>66675</xdr:rowOff>
    </xdr:to>
    <xdr:sp macro="" textlink="">
      <xdr:nvSpPr>
        <xdr:cNvPr id="259" name="Tile8">
          <a:extLst>
            <a:ext uri="{FF2B5EF4-FFF2-40B4-BE49-F238E27FC236}">
              <a16:creationId xmlns:a16="http://schemas.microsoft.com/office/drawing/2014/main" id="{3B553803-4972-4209-BA7F-8075AAC9A9ED}"/>
            </a:ext>
          </a:extLst>
        </xdr:cNvPr>
        <xdr:cNvSpPr/>
      </xdr:nvSpPr>
      <xdr:spPr>
        <a:xfrm>
          <a:off x="3111946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8</a:t>
          </a:r>
        </a:p>
      </xdr:txBody>
    </xdr:sp>
    <xdr:clientData/>
  </xdr:twoCellAnchor>
  <xdr:twoCellAnchor>
    <xdr:from>
      <xdr:col>37</xdr:col>
      <xdr:colOff>82630</xdr:colOff>
      <xdr:row>14</xdr:row>
      <xdr:rowOff>28575</xdr:rowOff>
    </xdr:from>
    <xdr:to>
      <xdr:col>42</xdr:col>
      <xdr:colOff>51820</xdr:colOff>
      <xdr:row>19</xdr:row>
      <xdr:rowOff>66675</xdr:rowOff>
    </xdr:to>
    <xdr:sp macro="" textlink="">
      <xdr:nvSpPr>
        <xdr:cNvPr id="260" name="Tile9">
          <a:extLst>
            <a:ext uri="{FF2B5EF4-FFF2-40B4-BE49-F238E27FC236}">
              <a16:creationId xmlns:a16="http://schemas.microsoft.com/office/drawing/2014/main" id="{35BD721A-FEBE-41E6-BBEE-2B9AA1D8B7A1}"/>
            </a:ext>
          </a:extLst>
        </xdr:cNvPr>
        <xdr:cNvSpPr/>
      </xdr:nvSpPr>
      <xdr:spPr>
        <a:xfrm>
          <a:off x="3606880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9</a:t>
          </a:r>
        </a:p>
      </xdr:txBody>
    </xdr:sp>
    <xdr:clientData/>
  </xdr:twoCellAnchor>
  <xdr:twoCellAnchor>
    <xdr:from>
      <xdr:col>43</xdr:col>
      <xdr:colOff>6063</xdr:colOff>
      <xdr:row>14</xdr:row>
      <xdr:rowOff>28575</xdr:rowOff>
    </xdr:from>
    <xdr:to>
      <xdr:col>47</xdr:col>
      <xdr:colOff>70503</xdr:colOff>
      <xdr:row>19</xdr:row>
      <xdr:rowOff>66675</xdr:rowOff>
    </xdr:to>
    <xdr:sp macro="" textlink="">
      <xdr:nvSpPr>
        <xdr:cNvPr id="261" name="Tile10">
          <a:extLst>
            <a:ext uri="{FF2B5EF4-FFF2-40B4-BE49-F238E27FC236}">
              <a16:creationId xmlns:a16="http://schemas.microsoft.com/office/drawing/2014/main" id="{F1795533-DECF-4532-A87D-F7205C01C0F8}"/>
            </a:ext>
          </a:extLst>
        </xdr:cNvPr>
        <xdr:cNvSpPr/>
      </xdr:nvSpPr>
      <xdr:spPr>
        <a:xfrm>
          <a:off x="4101813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10</a:t>
          </a:r>
        </a:p>
      </xdr:txBody>
    </xdr:sp>
    <xdr:clientData/>
  </xdr:twoCellAnchor>
  <xdr:twoCellAnchor>
    <xdr:from>
      <xdr:col>48</xdr:col>
      <xdr:colOff>24747</xdr:colOff>
      <xdr:row>14</xdr:row>
      <xdr:rowOff>28575</xdr:rowOff>
    </xdr:from>
    <xdr:to>
      <xdr:col>52</xdr:col>
      <xdr:colOff>89187</xdr:colOff>
      <xdr:row>19</xdr:row>
      <xdr:rowOff>66675</xdr:rowOff>
    </xdr:to>
    <xdr:sp macro="" textlink="">
      <xdr:nvSpPr>
        <xdr:cNvPr id="262" name="Tile11">
          <a:extLst>
            <a:ext uri="{FF2B5EF4-FFF2-40B4-BE49-F238E27FC236}">
              <a16:creationId xmlns:a16="http://schemas.microsoft.com/office/drawing/2014/main" id="{3C3DBD1D-BA56-443D-AD35-39891FAA1EEE}"/>
            </a:ext>
          </a:extLst>
        </xdr:cNvPr>
        <xdr:cNvSpPr/>
      </xdr:nvSpPr>
      <xdr:spPr>
        <a:xfrm>
          <a:off x="4596747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11</a:t>
          </a:r>
        </a:p>
      </xdr:txBody>
    </xdr:sp>
    <xdr:clientData/>
  </xdr:twoCellAnchor>
  <xdr:twoCellAnchor>
    <xdr:from>
      <xdr:col>53</xdr:col>
      <xdr:colOff>43430</xdr:colOff>
      <xdr:row>14</xdr:row>
      <xdr:rowOff>28575</xdr:rowOff>
    </xdr:from>
    <xdr:to>
      <xdr:col>58</xdr:col>
      <xdr:colOff>12620</xdr:colOff>
      <xdr:row>19</xdr:row>
      <xdr:rowOff>66675</xdr:rowOff>
    </xdr:to>
    <xdr:sp macro="" textlink="">
      <xdr:nvSpPr>
        <xdr:cNvPr id="263" name="Tile12">
          <a:extLst>
            <a:ext uri="{FF2B5EF4-FFF2-40B4-BE49-F238E27FC236}">
              <a16:creationId xmlns:a16="http://schemas.microsoft.com/office/drawing/2014/main" id="{06CC184E-8443-450E-AB92-115B2ECA04A5}"/>
            </a:ext>
          </a:extLst>
        </xdr:cNvPr>
        <xdr:cNvSpPr/>
      </xdr:nvSpPr>
      <xdr:spPr>
        <a:xfrm>
          <a:off x="5091680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12</a:t>
          </a:r>
        </a:p>
      </xdr:txBody>
    </xdr:sp>
    <xdr:clientData/>
  </xdr:twoCellAnchor>
  <xdr:twoCellAnchor>
    <xdr:from>
      <xdr:col>58</xdr:col>
      <xdr:colOff>62114</xdr:colOff>
      <xdr:row>14</xdr:row>
      <xdr:rowOff>28575</xdr:rowOff>
    </xdr:from>
    <xdr:to>
      <xdr:col>63</xdr:col>
      <xdr:colOff>31304</xdr:colOff>
      <xdr:row>19</xdr:row>
      <xdr:rowOff>66675</xdr:rowOff>
    </xdr:to>
    <xdr:sp macro="" textlink="">
      <xdr:nvSpPr>
        <xdr:cNvPr id="264" name="Tile13">
          <a:extLst>
            <a:ext uri="{FF2B5EF4-FFF2-40B4-BE49-F238E27FC236}">
              <a16:creationId xmlns:a16="http://schemas.microsoft.com/office/drawing/2014/main" id="{3E3ECC18-6F7A-4E47-8BBC-8A9E80648398}"/>
            </a:ext>
          </a:extLst>
        </xdr:cNvPr>
        <xdr:cNvSpPr/>
      </xdr:nvSpPr>
      <xdr:spPr>
        <a:xfrm>
          <a:off x="5586614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13</a:t>
          </a:r>
        </a:p>
      </xdr:txBody>
    </xdr:sp>
    <xdr:clientData/>
  </xdr:twoCellAnchor>
  <xdr:twoCellAnchor>
    <xdr:from>
      <xdr:col>63</xdr:col>
      <xdr:colOff>80797</xdr:colOff>
      <xdr:row>14</xdr:row>
      <xdr:rowOff>28575</xdr:rowOff>
    </xdr:from>
    <xdr:to>
      <xdr:col>68</xdr:col>
      <xdr:colOff>49987</xdr:colOff>
      <xdr:row>19</xdr:row>
      <xdr:rowOff>66675</xdr:rowOff>
    </xdr:to>
    <xdr:sp macro="" textlink="">
      <xdr:nvSpPr>
        <xdr:cNvPr id="265" name="Tile14">
          <a:extLst>
            <a:ext uri="{FF2B5EF4-FFF2-40B4-BE49-F238E27FC236}">
              <a16:creationId xmlns:a16="http://schemas.microsoft.com/office/drawing/2014/main" id="{877E9710-8211-45AF-958E-4928B07B5FC1}"/>
            </a:ext>
          </a:extLst>
        </xdr:cNvPr>
        <xdr:cNvSpPr/>
      </xdr:nvSpPr>
      <xdr:spPr>
        <a:xfrm>
          <a:off x="6081547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14</a:t>
          </a:r>
        </a:p>
      </xdr:txBody>
    </xdr:sp>
    <xdr:clientData/>
  </xdr:twoCellAnchor>
  <xdr:twoCellAnchor>
    <xdr:from>
      <xdr:col>24</xdr:col>
      <xdr:colOff>83546</xdr:colOff>
      <xdr:row>18</xdr:row>
      <xdr:rowOff>76200</xdr:rowOff>
    </xdr:from>
    <xdr:to>
      <xdr:col>29</xdr:col>
      <xdr:colOff>52736</xdr:colOff>
      <xdr:row>24</xdr:row>
      <xdr:rowOff>19050</xdr:rowOff>
    </xdr:to>
    <xdr:sp macro="" textlink="">
      <xdr:nvSpPr>
        <xdr:cNvPr id="266" name="Tile15">
          <a:extLst>
            <a:ext uri="{FF2B5EF4-FFF2-40B4-BE49-F238E27FC236}">
              <a16:creationId xmlns:a16="http://schemas.microsoft.com/office/drawing/2014/main" id="{7445B425-DA8E-4A55-AFFD-BD6548C33533}"/>
            </a:ext>
          </a:extLst>
        </xdr:cNvPr>
        <xdr:cNvSpPr/>
      </xdr:nvSpPr>
      <xdr:spPr>
        <a:xfrm>
          <a:off x="2369546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15</a:t>
          </a:r>
        </a:p>
      </xdr:txBody>
    </xdr:sp>
    <xdr:clientData/>
  </xdr:twoCellAnchor>
  <xdr:twoCellAnchor>
    <xdr:from>
      <xdr:col>30</xdr:col>
      <xdr:colOff>6979</xdr:colOff>
      <xdr:row>18</xdr:row>
      <xdr:rowOff>76200</xdr:rowOff>
    </xdr:from>
    <xdr:to>
      <xdr:col>34</xdr:col>
      <xdr:colOff>71419</xdr:colOff>
      <xdr:row>24</xdr:row>
      <xdr:rowOff>19050</xdr:rowOff>
    </xdr:to>
    <xdr:sp macro="" textlink="">
      <xdr:nvSpPr>
        <xdr:cNvPr id="267" name="Tile16">
          <a:extLst>
            <a:ext uri="{FF2B5EF4-FFF2-40B4-BE49-F238E27FC236}">
              <a16:creationId xmlns:a16="http://schemas.microsoft.com/office/drawing/2014/main" id="{ABF78CCE-188A-45CD-8835-BE216CFBF9B3}"/>
            </a:ext>
          </a:extLst>
        </xdr:cNvPr>
        <xdr:cNvSpPr/>
      </xdr:nvSpPr>
      <xdr:spPr>
        <a:xfrm>
          <a:off x="2864479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16</a:t>
          </a:r>
        </a:p>
      </xdr:txBody>
    </xdr:sp>
    <xdr:clientData/>
  </xdr:twoCellAnchor>
  <xdr:twoCellAnchor>
    <xdr:from>
      <xdr:col>35</xdr:col>
      <xdr:colOff>25663</xdr:colOff>
      <xdr:row>18</xdr:row>
      <xdr:rowOff>76200</xdr:rowOff>
    </xdr:from>
    <xdr:to>
      <xdr:col>39</xdr:col>
      <xdr:colOff>90103</xdr:colOff>
      <xdr:row>24</xdr:row>
      <xdr:rowOff>19050</xdr:rowOff>
    </xdr:to>
    <xdr:sp macro="" textlink="">
      <xdr:nvSpPr>
        <xdr:cNvPr id="268" name="Tile17">
          <a:extLst>
            <a:ext uri="{FF2B5EF4-FFF2-40B4-BE49-F238E27FC236}">
              <a16:creationId xmlns:a16="http://schemas.microsoft.com/office/drawing/2014/main" id="{E3CAFAA3-2381-408C-A0DC-526D5E07343B}"/>
            </a:ext>
          </a:extLst>
        </xdr:cNvPr>
        <xdr:cNvSpPr/>
      </xdr:nvSpPr>
      <xdr:spPr>
        <a:xfrm>
          <a:off x="3359413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17</a:t>
          </a:r>
        </a:p>
      </xdr:txBody>
    </xdr:sp>
    <xdr:clientData/>
  </xdr:twoCellAnchor>
  <xdr:twoCellAnchor>
    <xdr:from>
      <xdr:col>40</xdr:col>
      <xdr:colOff>44347</xdr:colOff>
      <xdr:row>18</xdr:row>
      <xdr:rowOff>76200</xdr:rowOff>
    </xdr:from>
    <xdr:to>
      <xdr:col>45</xdr:col>
      <xdr:colOff>13537</xdr:colOff>
      <xdr:row>24</xdr:row>
      <xdr:rowOff>19050</xdr:rowOff>
    </xdr:to>
    <xdr:sp macro="" textlink="">
      <xdr:nvSpPr>
        <xdr:cNvPr id="269" name="Tile18">
          <a:extLst>
            <a:ext uri="{FF2B5EF4-FFF2-40B4-BE49-F238E27FC236}">
              <a16:creationId xmlns:a16="http://schemas.microsoft.com/office/drawing/2014/main" id="{6E595D88-6AC7-495A-A009-C259AFBFF82A}"/>
            </a:ext>
          </a:extLst>
        </xdr:cNvPr>
        <xdr:cNvSpPr/>
      </xdr:nvSpPr>
      <xdr:spPr>
        <a:xfrm>
          <a:off x="3854347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18</a:t>
          </a:r>
        </a:p>
      </xdr:txBody>
    </xdr:sp>
    <xdr:clientData/>
  </xdr:twoCellAnchor>
  <xdr:twoCellAnchor>
    <xdr:from>
      <xdr:col>45</xdr:col>
      <xdr:colOff>63030</xdr:colOff>
      <xdr:row>18</xdr:row>
      <xdr:rowOff>76200</xdr:rowOff>
    </xdr:from>
    <xdr:to>
      <xdr:col>50</xdr:col>
      <xdr:colOff>32220</xdr:colOff>
      <xdr:row>24</xdr:row>
      <xdr:rowOff>19050</xdr:rowOff>
    </xdr:to>
    <xdr:sp macro="" textlink="">
      <xdr:nvSpPr>
        <xdr:cNvPr id="270" name="Tile19">
          <a:extLst>
            <a:ext uri="{FF2B5EF4-FFF2-40B4-BE49-F238E27FC236}">
              <a16:creationId xmlns:a16="http://schemas.microsoft.com/office/drawing/2014/main" id="{5735B3BD-DBD1-4032-A7F0-1BE144FF448F}"/>
            </a:ext>
          </a:extLst>
        </xdr:cNvPr>
        <xdr:cNvSpPr/>
      </xdr:nvSpPr>
      <xdr:spPr>
        <a:xfrm>
          <a:off x="4349280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19</a:t>
          </a:r>
        </a:p>
      </xdr:txBody>
    </xdr:sp>
    <xdr:clientData/>
  </xdr:twoCellAnchor>
  <xdr:twoCellAnchor>
    <xdr:from>
      <xdr:col>50</xdr:col>
      <xdr:colOff>81714</xdr:colOff>
      <xdr:row>18</xdr:row>
      <xdr:rowOff>76200</xdr:rowOff>
    </xdr:from>
    <xdr:to>
      <xdr:col>55</xdr:col>
      <xdr:colOff>50904</xdr:colOff>
      <xdr:row>24</xdr:row>
      <xdr:rowOff>19050</xdr:rowOff>
    </xdr:to>
    <xdr:sp macro="" textlink="">
      <xdr:nvSpPr>
        <xdr:cNvPr id="271" name="Tile20">
          <a:extLst>
            <a:ext uri="{FF2B5EF4-FFF2-40B4-BE49-F238E27FC236}">
              <a16:creationId xmlns:a16="http://schemas.microsoft.com/office/drawing/2014/main" id="{7086BF42-A696-4A2A-9146-963621FC176F}"/>
            </a:ext>
          </a:extLst>
        </xdr:cNvPr>
        <xdr:cNvSpPr/>
      </xdr:nvSpPr>
      <xdr:spPr>
        <a:xfrm>
          <a:off x="4844214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20</a:t>
          </a:r>
        </a:p>
      </xdr:txBody>
    </xdr:sp>
    <xdr:clientData/>
  </xdr:twoCellAnchor>
  <xdr:twoCellAnchor>
    <xdr:from>
      <xdr:col>56</xdr:col>
      <xdr:colOff>5147</xdr:colOff>
      <xdr:row>18</xdr:row>
      <xdr:rowOff>76200</xdr:rowOff>
    </xdr:from>
    <xdr:to>
      <xdr:col>60</xdr:col>
      <xdr:colOff>69587</xdr:colOff>
      <xdr:row>24</xdr:row>
      <xdr:rowOff>19050</xdr:rowOff>
    </xdr:to>
    <xdr:sp macro="" textlink="">
      <xdr:nvSpPr>
        <xdr:cNvPr id="272" name="Tile21">
          <a:extLst>
            <a:ext uri="{FF2B5EF4-FFF2-40B4-BE49-F238E27FC236}">
              <a16:creationId xmlns:a16="http://schemas.microsoft.com/office/drawing/2014/main" id="{BEF23924-6987-4274-8C0D-7E785F20389F}"/>
            </a:ext>
          </a:extLst>
        </xdr:cNvPr>
        <xdr:cNvSpPr/>
      </xdr:nvSpPr>
      <xdr:spPr>
        <a:xfrm>
          <a:off x="5339147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21</a:t>
          </a:r>
        </a:p>
      </xdr:txBody>
    </xdr:sp>
    <xdr:clientData/>
  </xdr:twoCellAnchor>
  <xdr:twoCellAnchor>
    <xdr:from>
      <xdr:col>61</xdr:col>
      <xdr:colOff>23831</xdr:colOff>
      <xdr:row>18</xdr:row>
      <xdr:rowOff>76200</xdr:rowOff>
    </xdr:from>
    <xdr:to>
      <xdr:col>65</xdr:col>
      <xdr:colOff>88271</xdr:colOff>
      <xdr:row>24</xdr:row>
      <xdr:rowOff>19050</xdr:rowOff>
    </xdr:to>
    <xdr:sp macro="" textlink="">
      <xdr:nvSpPr>
        <xdr:cNvPr id="273" name="Tile22">
          <a:extLst>
            <a:ext uri="{FF2B5EF4-FFF2-40B4-BE49-F238E27FC236}">
              <a16:creationId xmlns:a16="http://schemas.microsoft.com/office/drawing/2014/main" id="{2486A462-BFFC-4108-84E0-FE9DE5DB31CF}"/>
            </a:ext>
          </a:extLst>
        </xdr:cNvPr>
        <xdr:cNvSpPr/>
      </xdr:nvSpPr>
      <xdr:spPr>
        <a:xfrm>
          <a:off x="5834081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22</a:t>
          </a:r>
        </a:p>
      </xdr:txBody>
    </xdr:sp>
    <xdr:clientData/>
  </xdr:twoCellAnchor>
  <xdr:twoCellAnchor>
    <xdr:from>
      <xdr:col>66</xdr:col>
      <xdr:colOff>42514</xdr:colOff>
      <xdr:row>18</xdr:row>
      <xdr:rowOff>76200</xdr:rowOff>
    </xdr:from>
    <xdr:to>
      <xdr:col>71</xdr:col>
      <xdr:colOff>11704</xdr:colOff>
      <xdr:row>24</xdr:row>
      <xdr:rowOff>19050</xdr:rowOff>
    </xdr:to>
    <xdr:sp macro="" textlink="">
      <xdr:nvSpPr>
        <xdr:cNvPr id="274" name="Tile23">
          <a:extLst>
            <a:ext uri="{FF2B5EF4-FFF2-40B4-BE49-F238E27FC236}">
              <a16:creationId xmlns:a16="http://schemas.microsoft.com/office/drawing/2014/main" id="{D5BA52A4-5D36-48B7-9D50-185FE126E803}"/>
            </a:ext>
          </a:extLst>
        </xdr:cNvPr>
        <xdr:cNvSpPr/>
      </xdr:nvSpPr>
      <xdr:spPr>
        <a:xfrm>
          <a:off x="6329014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23</a:t>
          </a:r>
        </a:p>
      </xdr:txBody>
    </xdr:sp>
    <xdr:clientData/>
  </xdr:twoCellAnchor>
  <xdr:twoCellAnchor>
    <xdr:from>
      <xdr:col>22</xdr:col>
      <xdr:colOff>26579</xdr:colOff>
      <xdr:row>23</xdr:row>
      <xdr:rowOff>28575</xdr:rowOff>
    </xdr:from>
    <xdr:to>
      <xdr:col>26</xdr:col>
      <xdr:colOff>91019</xdr:colOff>
      <xdr:row>28</xdr:row>
      <xdr:rowOff>66675</xdr:rowOff>
    </xdr:to>
    <xdr:sp macro="" textlink="">
      <xdr:nvSpPr>
        <xdr:cNvPr id="275" name="Tile24">
          <a:extLst>
            <a:ext uri="{FF2B5EF4-FFF2-40B4-BE49-F238E27FC236}">
              <a16:creationId xmlns:a16="http://schemas.microsoft.com/office/drawing/2014/main" id="{1ACD2095-DF7E-489F-BE78-929227F90376}"/>
            </a:ext>
          </a:extLst>
        </xdr:cNvPr>
        <xdr:cNvSpPr/>
      </xdr:nvSpPr>
      <xdr:spPr>
        <a:xfrm>
          <a:off x="2122079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24</a:t>
          </a:r>
        </a:p>
      </xdr:txBody>
    </xdr:sp>
    <xdr:clientData/>
  </xdr:twoCellAnchor>
  <xdr:twoCellAnchor>
    <xdr:from>
      <xdr:col>27</xdr:col>
      <xdr:colOff>45263</xdr:colOff>
      <xdr:row>23</xdr:row>
      <xdr:rowOff>28575</xdr:rowOff>
    </xdr:from>
    <xdr:to>
      <xdr:col>32</xdr:col>
      <xdr:colOff>14453</xdr:colOff>
      <xdr:row>28</xdr:row>
      <xdr:rowOff>66675</xdr:rowOff>
    </xdr:to>
    <xdr:sp macro="" textlink="">
      <xdr:nvSpPr>
        <xdr:cNvPr id="276" name="Tile25">
          <a:extLst>
            <a:ext uri="{FF2B5EF4-FFF2-40B4-BE49-F238E27FC236}">
              <a16:creationId xmlns:a16="http://schemas.microsoft.com/office/drawing/2014/main" id="{F21DCFED-26AD-4258-B7EF-F556AD256EFD}"/>
            </a:ext>
          </a:extLst>
        </xdr:cNvPr>
        <xdr:cNvSpPr/>
      </xdr:nvSpPr>
      <xdr:spPr>
        <a:xfrm>
          <a:off x="2617013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25</a:t>
          </a:r>
        </a:p>
      </xdr:txBody>
    </xdr:sp>
    <xdr:clientData/>
  </xdr:twoCellAnchor>
  <xdr:twoCellAnchor>
    <xdr:from>
      <xdr:col>32</xdr:col>
      <xdr:colOff>63946</xdr:colOff>
      <xdr:row>23</xdr:row>
      <xdr:rowOff>28575</xdr:rowOff>
    </xdr:from>
    <xdr:to>
      <xdr:col>37</xdr:col>
      <xdr:colOff>33136</xdr:colOff>
      <xdr:row>28</xdr:row>
      <xdr:rowOff>66675</xdr:rowOff>
    </xdr:to>
    <xdr:sp macro="" textlink="">
      <xdr:nvSpPr>
        <xdr:cNvPr id="277" name="Tile26">
          <a:extLst>
            <a:ext uri="{FF2B5EF4-FFF2-40B4-BE49-F238E27FC236}">
              <a16:creationId xmlns:a16="http://schemas.microsoft.com/office/drawing/2014/main" id="{38976E34-E7F3-4AB2-9E90-039F8CF33355}"/>
            </a:ext>
          </a:extLst>
        </xdr:cNvPr>
        <xdr:cNvSpPr/>
      </xdr:nvSpPr>
      <xdr:spPr>
        <a:xfrm>
          <a:off x="3111946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26</a:t>
          </a:r>
        </a:p>
      </xdr:txBody>
    </xdr:sp>
    <xdr:clientData/>
  </xdr:twoCellAnchor>
  <xdr:twoCellAnchor>
    <xdr:from>
      <xdr:col>37</xdr:col>
      <xdr:colOff>82630</xdr:colOff>
      <xdr:row>23</xdr:row>
      <xdr:rowOff>28575</xdr:rowOff>
    </xdr:from>
    <xdr:to>
      <xdr:col>42</xdr:col>
      <xdr:colOff>51820</xdr:colOff>
      <xdr:row>28</xdr:row>
      <xdr:rowOff>66675</xdr:rowOff>
    </xdr:to>
    <xdr:sp macro="" textlink="">
      <xdr:nvSpPr>
        <xdr:cNvPr id="278" name="Tile27">
          <a:extLst>
            <a:ext uri="{FF2B5EF4-FFF2-40B4-BE49-F238E27FC236}">
              <a16:creationId xmlns:a16="http://schemas.microsoft.com/office/drawing/2014/main" id="{FF86D0E6-D6B7-4F83-82E4-0DB1E28B1C1F}"/>
            </a:ext>
          </a:extLst>
        </xdr:cNvPr>
        <xdr:cNvSpPr/>
      </xdr:nvSpPr>
      <xdr:spPr>
        <a:xfrm>
          <a:off x="3606880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27</a:t>
          </a:r>
        </a:p>
      </xdr:txBody>
    </xdr:sp>
    <xdr:clientData/>
  </xdr:twoCellAnchor>
  <xdr:twoCellAnchor>
    <xdr:from>
      <xdr:col>43</xdr:col>
      <xdr:colOff>6063</xdr:colOff>
      <xdr:row>23</xdr:row>
      <xdr:rowOff>28575</xdr:rowOff>
    </xdr:from>
    <xdr:to>
      <xdr:col>47</xdr:col>
      <xdr:colOff>70503</xdr:colOff>
      <xdr:row>28</xdr:row>
      <xdr:rowOff>66675</xdr:rowOff>
    </xdr:to>
    <xdr:sp macro="" textlink="">
      <xdr:nvSpPr>
        <xdr:cNvPr id="279" name="Tile28">
          <a:extLst>
            <a:ext uri="{FF2B5EF4-FFF2-40B4-BE49-F238E27FC236}">
              <a16:creationId xmlns:a16="http://schemas.microsoft.com/office/drawing/2014/main" id="{8D62B000-DE1F-44DE-B4F5-A81CAD3A8F2A}"/>
            </a:ext>
          </a:extLst>
        </xdr:cNvPr>
        <xdr:cNvSpPr/>
      </xdr:nvSpPr>
      <xdr:spPr>
        <a:xfrm>
          <a:off x="4101813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28</a:t>
          </a:r>
        </a:p>
      </xdr:txBody>
    </xdr:sp>
    <xdr:clientData/>
  </xdr:twoCellAnchor>
  <xdr:twoCellAnchor>
    <xdr:from>
      <xdr:col>48</xdr:col>
      <xdr:colOff>24747</xdr:colOff>
      <xdr:row>23</xdr:row>
      <xdr:rowOff>28575</xdr:rowOff>
    </xdr:from>
    <xdr:to>
      <xdr:col>52</xdr:col>
      <xdr:colOff>89187</xdr:colOff>
      <xdr:row>28</xdr:row>
      <xdr:rowOff>66675</xdr:rowOff>
    </xdr:to>
    <xdr:sp macro="" textlink="">
      <xdr:nvSpPr>
        <xdr:cNvPr id="280" name="Tile29">
          <a:extLst>
            <a:ext uri="{FF2B5EF4-FFF2-40B4-BE49-F238E27FC236}">
              <a16:creationId xmlns:a16="http://schemas.microsoft.com/office/drawing/2014/main" id="{3DB771EA-7909-4D96-8948-CB6811DC233D}"/>
            </a:ext>
          </a:extLst>
        </xdr:cNvPr>
        <xdr:cNvSpPr/>
      </xdr:nvSpPr>
      <xdr:spPr>
        <a:xfrm>
          <a:off x="4596747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29</a:t>
          </a:r>
        </a:p>
      </xdr:txBody>
    </xdr:sp>
    <xdr:clientData/>
  </xdr:twoCellAnchor>
  <xdr:twoCellAnchor>
    <xdr:from>
      <xdr:col>53</xdr:col>
      <xdr:colOff>43430</xdr:colOff>
      <xdr:row>23</xdr:row>
      <xdr:rowOff>28575</xdr:rowOff>
    </xdr:from>
    <xdr:to>
      <xdr:col>58</xdr:col>
      <xdr:colOff>12620</xdr:colOff>
      <xdr:row>28</xdr:row>
      <xdr:rowOff>66675</xdr:rowOff>
    </xdr:to>
    <xdr:sp macro="" textlink="">
      <xdr:nvSpPr>
        <xdr:cNvPr id="281" name="Tile30">
          <a:extLst>
            <a:ext uri="{FF2B5EF4-FFF2-40B4-BE49-F238E27FC236}">
              <a16:creationId xmlns:a16="http://schemas.microsoft.com/office/drawing/2014/main" id="{F37392C4-C585-4CE6-A6D2-199C50CD43AF}"/>
            </a:ext>
          </a:extLst>
        </xdr:cNvPr>
        <xdr:cNvSpPr/>
      </xdr:nvSpPr>
      <xdr:spPr>
        <a:xfrm>
          <a:off x="5091680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30</a:t>
          </a:r>
        </a:p>
      </xdr:txBody>
    </xdr:sp>
    <xdr:clientData/>
  </xdr:twoCellAnchor>
  <xdr:twoCellAnchor>
    <xdr:from>
      <xdr:col>58</xdr:col>
      <xdr:colOff>62114</xdr:colOff>
      <xdr:row>23</xdr:row>
      <xdr:rowOff>28575</xdr:rowOff>
    </xdr:from>
    <xdr:to>
      <xdr:col>63</xdr:col>
      <xdr:colOff>31304</xdr:colOff>
      <xdr:row>28</xdr:row>
      <xdr:rowOff>66675</xdr:rowOff>
    </xdr:to>
    <xdr:sp macro="" textlink="">
      <xdr:nvSpPr>
        <xdr:cNvPr id="282" name="Tile31">
          <a:extLst>
            <a:ext uri="{FF2B5EF4-FFF2-40B4-BE49-F238E27FC236}">
              <a16:creationId xmlns:a16="http://schemas.microsoft.com/office/drawing/2014/main" id="{62EC2299-7F8E-44A2-A438-BF09BD7795B7}"/>
            </a:ext>
          </a:extLst>
        </xdr:cNvPr>
        <xdr:cNvSpPr/>
      </xdr:nvSpPr>
      <xdr:spPr>
        <a:xfrm>
          <a:off x="5586614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31</a:t>
          </a:r>
        </a:p>
      </xdr:txBody>
    </xdr:sp>
    <xdr:clientData/>
  </xdr:twoCellAnchor>
  <xdr:twoCellAnchor>
    <xdr:from>
      <xdr:col>63</xdr:col>
      <xdr:colOff>80797</xdr:colOff>
      <xdr:row>23</xdr:row>
      <xdr:rowOff>28575</xdr:rowOff>
    </xdr:from>
    <xdr:to>
      <xdr:col>68</xdr:col>
      <xdr:colOff>49987</xdr:colOff>
      <xdr:row>28</xdr:row>
      <xdr:rowOff>66675</xdr:rowOff>
    </xdr:to>
    <xdr:sp macro="" textlink="">
      <xdr:nvSpPr>
        <xdr:cNvPr id="283" name="Tile32">
          <a:extLst>
            <a:ext uri="{FF2B5EF4-FFF2-40B4-BE49-F238E27FC236}">
              <a16:creationId xmlns:a16="http://schemas.microsoft.com/office/drawing/2014/main" id="{DCD916C8-5C72-4A53-A513-856AAD370CF5}"/>
            </a:ext>
          </a:extLst>
        </xdr:cNvPr>
        <xdr:cNvSpPr/>
      </xdr:nvSpPr>
      <xdr:spPr>
        <a:xfrm>
          <a:off x="6081547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32</a:t>
          </a:r>
        </a:p>
      </xdr:txBody>
    </xdr:sp>
    <xdr:clientData/>
  </xdr:twoCellAnchor>
  <xdr:twoCellAnchor>
    <xdr:from>
      <xdr:col>69</xdr:col>
      <xdr:colOff>4231</xdr:colOff>
      <xdr:row>23</xdr:row>
      <xdr:rowOff>28575</xdr:rowOff>
    </xdr:from>
    <xdr:to>
      <xdr:col>73</xdr:col>
      <xdr:colOff>68671</xdr:colOff>
      <xdr:row>28</xdr:row>
      <xdr:rowOff>66675</xdr:rowOff>
    </xdr:to>
    <xdr:sp macro="" textlink="">
      <xdr:nvSpPr>
        <xdr:cNvPr id="284" name="Tile33">
          <a:extLst>
            <a:ext uri="{FF2B5EF4-FFF2-40B4-BE49-F238E27FC236}">
              <a16:creationId xmlns:a16="http://schemas.microsoft.com/office/drawing/2014/main" id="{505664DD-6C73-42E2-88CE-E595A3618111}"/>
            </a:ext>
          </a:extLst>
        </xdr:cNvPr>
        <xdr:cNvSpPr/>
      </xdr:nvSpPr>
      <xdr:spPr>
        <a:xfrm>
          <a:off x="6576481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33</a:t>
          </a:r>
        </a:p>
      </xdr:txBody>
    </xdr:sp>
    <xdr:clientData/>
  </xdr:twoCellAnchor>
  <xdr:twoCellAnchor>
    <xdr:from>
      <xdr:col>19</xdr:col>
      <xdr:colOff>64862</xdr:colOff>
      <xdr:row>27</xdr:row>
      <xdr:rowOff>76200</xdr:rowOff>
    </xdr:from>
    <xdr:to>
      <xdr:col>24</xdr:col>
      <xdr:colOff>34052</xdr:colOff>
      <xdr:row>33</xdr:row>
      <xdr:rowOff>19050</xdr:rowOff>
    </xdr:to>
    <xdr:sp macro="" textlink="">
      <xdr:nvSpPr>
        <xdr:cNvPr id="285" name="Tile34">
          <a:extLst>
            <a:ext uri="{FF2B5EF4-FFF2-40B4-BE49-F238E27FC236}">
              <a16:creationId xmlns:a16="http://schemas.microsoft.com/office/drawing/2014/main" id="{E80435F5-DDF1-47E0-B79C-3DF964144B86}"/>
            </a:ext>
          </a:extLst>
        </xdr:cNvPr>
        <xdr:cNvSpPr/>
      </xdr:nvSpPr>
      <xdr:spPr>
        <a:xfrm>
          <a:off x="1874612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34</a:t>
          </a:r>
        </a:p>
      </xdr:txBody>
    </xdr:sp>
    <xdr:clientData/>
  </xdr:twoCellAnchor>
  <xdr:twoCellAnchor>
    <xdr:from>
      <xdr:col>24</xdr:col>
      <xdr:colOff>83546</xdr:colOff>
      <xdr:row>27</xdr:row>
      <xdr:rowOff>76200</xdr:rowOff>
    </xdr:from>
    <xdr:to>
      <xdr:col>29</xdr:col>
      <xdr:colOff>52736</xdr:colOff>
      <xdr:row>33</xdr:row>
      <xdr:rowOff>19050</xdr:rowOff>
    </xdr:to>
    <xdr:sp macro="" textlink="">
      <xdr:nvSpPr>
        <xdr:cNvPr id="286" name="Tile35">
          <a:extLst>
            <a:ext uri="{FF2B5EF4-FFF2-40B4-BE49-F238E27FC236}">
              <a16:creationId xmlns:a16="http://schemas.microsoft.com/office/drawing/2014/main" id="{F037F4F7-D9DF-4753-A479-0A7159D4AE66}"/>
            </a:ext>
          </a:extLst>
        </xdr:cNvPr>
        <xdr:cNvSpPr/>
      </xdr:nvSpPr>
      <xdr:spPr>
        <a:xfrm>
          <a:off x="2369546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35</a:t>
          </a:r>
        </a:p>
      </xdr:txBody>
    </xdr:sp>
    <xdr:clientData/>
  </xdr:twoCellAnchor>
  <xdr:twoCellAnchor>
    <xdr:from>
      <xdr:col>30</xdr:col>
      <xdr:colOff>6979</xdr:colOff>
      <xdr:row>27</xdr:row>
      <xdr:rowOff>76200</xdr:rowOff>
    </xdr:from>
    <xdr:to>
      <xdr:col>34</xdr:col>
      <xdr:colOff>71419</xdr:colOff>
      <xdr:row>33</xdr:row>
      <xdr:rowOff>19050</xdr:rowOff>
    </xdr:to>
    <xdr:sp macro="" textlink="">
      <xdr:nvSpPr>
        <xdr:cNvPr id="287" name="Tile36">
          <a:extLst>
            <a:ext uri="{FF2B5EF4-FFF2-40B4-BE49-F238E27FC236}">
              <a16:creationId xmlns:a16="http://schemas.microsoft.com/office/drawing/2014/main" id="{8A33D931-BFA2-4F40-9F5A-BAC94F487213}"/>
            </a:ext>
          </a:extLst>
        </xdr:cNvPr>
        <xdr:cNvSpPr/>
      </xdr:nvSpPr>
      <xdr:spPr>
        <a:xfrm>
          <a:off x="2864479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36</a:t>
          </a:r>
        </a:p>
      </xdr:txBody>
    </xdr:sp>
    <xdr:clientData/>
  </xdr:twoCellAnchor>
  <xdr:twoCellAnchor>
    <xdr:from>
      <xdr:col>35</xdr:col>
      <xdr:colOff>25663</xdr:colOff>
      <xdr:row>27</xdr:row>
      <xdr:rowOff>76200</xdr:rowOff>
    </xdr:from>
    <xdr:to>
      <xdr:col>39</xdr:col>
      <xdr:colOff>90103</xdr:colOff>
      <xdr:row>33</xdr:row>
      <xdr:rowOff>19050</xdr:rowOff>
    </xdr:to>
    <xdr:sp macro="" textlink="">
      <xdr:nvSpPr>
        <xdr:cNvPr id="288" name="Tile37">
          <a:extLst>
            <a:ext uri="{FF2B5EF4-FFF2-40B4-BE49-F238E27FC236}">
              <a16:creationId xmlns:a16="http://schemas.microsoft.com/office/drawing/2014/main" id="{D5CE089D-2109-463D-AEDE-6D150A9A4470}"/>
            </a:ext>
          </a:extLst>
        </xdr:cNvPr>
        <xdr:cNvSpPr/>
      </xdr:nvSpPr>
      <xdr:spPr>
        <a:xfrm>
          <a:off x="3359413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37</a:t>
          </a:r>
        </a:p>
      </xdr:txBody>
    </xdr:sp>
    <xdr:clientData/>
  </xdr:twoCellAnchor>
  <xdr:twoCellAnchor>
    <xdr:from>
      <xdr:col>40</xdr:col>
      <xdr:colOff>44347</xdr:colOff>
      <xdr:row>27</xdr:row>
      <xdr:rowOff>76200</xdr:rowOff>
    </xdr:from>
    <xdr:to>
      <xdr:col>45</xdr:col>
      <xdr:colOff>13537</xdr:colOff>
      <xdr:row>33</xdr:row>
      <xdr:rowOff>19050</xdr:rowOff>
    </xdr:to>
    <xdr:sp macro="" textlink="">
      <xdr:nvSpPr>
        <xdr:cNvPr id="289" name="Tile38">
          <a:extLst>
            <a:ext uri="{FF2B5EF4-FFF2-40B4-BE49-F238E27FC236}">
              <a16:creationId xmlns:a16="http://schemas.microsoft.com/office/drawing/2014/main" id="{CBE28706-B9CD-4DAB-BD86-1BD4D2F8C5F8}"/>
            </a:ext>
          </a:extLst>
        </xdr:cNvPr>
        <xdr:cNvSpPr/>
      </xdr:nvSpPr>
      <xdr:spPr>
        <a:xfrm>
          <a:off x="3854347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38</a:t>
          </a:r>
        </a:p>
      </xdr:txBody>
    </xdr:sp>
    <xdr:clientData/>
  </xdr:twoCellAnchor>
  <xdr:twoCellAnchor>
    <xdr:from>
      <xdr:col>45</xdr:col>
      <xdr:colOff>63030</xdr:colOff>
      <xdr:row>27</xdr:row>
      <xdr:rowOff>76200</xdr:rowOff>
    </xdr:from>
    <xdr:to>
      <xdr:col>50</xdr:col>
      <xdr:colOff>32220</xdr:colOff>
      <xdr:row>33</xdr:row>
      <xdr:rowOff>19050</xdr:rowOff>
    </xdr:to>
    <xdr:sp macro="" textlink="">
      <xdr:nvSpPr>
        <xdr:cNvPr id="290" name="Tile39">
          <a:extLst>
            <a:ext uri="{FF2B5EF4-FFF2-40B4-BE49-F238E27FC236}">
              <a16:creationId xmlns:a16="http://schemas.microsoft.com/office/drawing/2014/main" id="{1229F2EF-E1F6-44C8-986F-8A38DAFC8BC1}"/>
            </a:ext>
          </a:extLst>
        </xdr:cNvPr>
        <xdr:cNvSpPr/>
      </xdr:nvSpPr>
      <xdr:spPr>
        <a:xfrm>
          <a:off x="4349280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39</a:t>
          </a:r>
        </a:p>
      </xdr:txBody>
    </xdr:sp>
    <xdr:clientData/>
  </xdr:twoCellAnchor>
  <xdr:twoCellAnchor>
    <xdr:from>
      <xdr:col>50</xdr:col>
      <xdr:colOff>81714</xdr:colOff>
      <xdr:row>27</xdr:row>
      <xdr:rowOff>76200</xdr:rowOff>
    </xdr:from>
    <xdr:to>
      <xdr:col>55</xdr:col>
      <xdr:colOff>50904</xdr:colOff>
      <xdr:row>33</xdr:row>
      <xdr:rowOff>19050</xdr:rowOff>
    </xdr:to>
    <xdr:sp macro="" textlink="">
      <xdr:nvSpPr>
        <xdr:cNvPr id="291" name="Tile40">
          <a:extLst>
            <a:ext uri="{FF2B5EF4-FFF2-40B4-BE49-F238E27FC236}">
              <a16:creationId xmlns:a16="http://schemas.microsoft.com/office/drawing/2014/main" id="{7DBFD15A-02A7-4678-9D67-657E62138844}"/>
            </a:ext>
          </a:extLst>
        </xdr:cNvPr>
        <xdr:cNvSpPr/>
      </xdr:nvSpPr>
      <xdr:spPr>
        <a:xfrm>
          <a:off x="4844214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accent5">
            <a:lumMod val="7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40</a:t>
          </a:r>
        </a:p>
      </xdr:txBody>
    </xdr:sp>
    <xdr:clientData/>
  </xdr:twoCellAnchor>
  <xdr:twoCellAnchor>
    <xdr:from>
      <xdr:col>56</xdr:col>
      <xdr:colOff>5147</xdr:colOff>
      <xdr:row>27</xdr:row>
      <xdr:rowOff>76200</xdr:rowOff>
    </xdr:from>
    <xdr:to>
      <xdr:col>60</xdr:col>
      <xdr:colOff>69587</xdr:colOff>
      <xdr:row>33</xdr:row>
      <xdr:rowOff>19050</xdr:rowOff>
    </xdr:to>
    <xdr:sp macro="" textlink="">
      <xdr:nvSpPr>
        <xdr:cNvPr id="292" name="Tile41">
          <a:extLst>
            <a:ext uri="{FF2B5EF4-FFF2-40B4-BE49-F238E27FC236}">
              <a16:creationId xmlns:a16="http://schemas.microsoft.com/office/drawing/2014/main" id="{AE6B1A69-678D-476B-AD17-12A38D38ED23}"/>
            </a:ext>
          </a:extLst>
        </xdr:cNvPr>
        <xdr:cNvSpPr/>
      </xdr:nvSpPr>
      <xdr:spPr>
        <a:xfrm>
          <a:off x="5339147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accent3">
            <a:lumMod val="7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41</a:t>
          </a:r>
        </a:p>
      </xdr:txBody>
    </xdr:sp>
    <xdr:clientData/>
  </xdr:twoCellAnchor>
  <xdr:twoCellAnchor>
    <xdr:from>
      <xdr:col>61</xdr:col>
      <xdr:colOff>23831</xdr:colOff>
      <xdr:row>27</xdr:row>
      <xdr:rowOff>76200</xdr:rowOff>
    </xdr:from>
    <xdr:to>
      <xdr:col>65</xdr:col>
      <xdr:colOff>88271</xdr:colOff>
      <xdr:row>33</xdr:row>
      <xdr:rowOff>19050</xdr:rowOff>
    </xdr:to>
    <xdr:sp macro="" textlink="">
      <xdr:nvSpPr>
        <xdr:cNvPr id="293" name="Tile42">
          <a:extLst>
            <a:ext uri="{FF2B5EF4-FFF2-40B4-BE49-F238E27FC236}">
              <a16:creationId xmlns:a16="http://schemas.microsoft.com/office/drawing/2014/main" id="{BA5BB63C-214E-4EB7-9964-EEBF96B30B31}"/>
            </a:ext>
          </a:extLst>
        </xdr:cNvPr>
        <xdr:cNvSpPr/>
      </xdr:nvSpPr>
      <xdr:spPr>
        <a:xfrm>
          <a:off x="5834081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accent5">
            <a:lumMod val="7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42</a:t>
          </a:r>
        </a:p>
      </xdr:txBody>
    </xdr:sp>
    <xdr:clientData/>
  </xdr:twoCellAnchor>
  <xdr:twoCellAnchor>
    <xdr:from>
      <xdr:col>66</xdr:col>
      <xdr:colOff>42514</xdr:colOff>
      <xdr:row>27</xdr:row>
      <xdr:rowOff>76200</xdr:rowOff>
    </xdr:from>
    <xdr:to>
      <xdr:col>71</xdr:col>
      <xdr:colOff>11704</xdr:colOff>
      <xdr:row>33</xdr:row>
      <xdr:rowOff>19050</xdr:rowOff>
    </xdr:to>
    <xdr:sp macro="" textlink="">
      <xdr:nvSpPr>
        <xdr:cNvPr id="294" name="Tile43">
          <a:extLst>
            <a:ext uri="{FF2B5EF4-FFF2-40B4-BE49-F238E27FC236}">
              <a16:creationId xmlns:a16="http://schemas.microsoft.com/office/drawing/2014/main" id="{DEEC0215-6970-43B0-988C-500E7F41D269}"/>
            </a:ext>
          </a:extLst>
        </xdr:cNvPr>
        <xdr:cNvSpPr/>
      </xdr:nvSpPr>
      <xdr:spPr>
        <a:xfrm>
          <a:off x="6329014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43</a:t>
          </a:r>
        </a:p>
      </xdr:txBody>
    </xdr:sp>
    <xdr:clientData/>
  </xdr:twoCellAnchor>
  <xdr:twoCellAnchor>
    <xdr:from>
      <xdr:col>71</xdr:col>
      <xdr:colOff>61198</xdr:colOff>
      <xdr:row>27</xdr:row>
      <xdr:rowOff>76200</xdr:rowOff>
    </xdr:from>
    <xdr:to>
      <xdr:col>76</xdr:col>
      <xdr:colOff>30388</xdr:colOff>
      <xdr:row>33</xdr:row>
      <xdr:rowOff>19050</xdr:rowOff>
    </xdr:to>
    <xdr:sp macro="" textlink="">
      <xdr:nvSpPr>
        <xdr:cNvPr id="295" name="Tile44">
          <a:extLst>
            <a:ext uri="{FF2B5EF4-FFF2-40B4-BE49-F238E27FC236}">
              <a16:creationId xmlns:a16="http://schemas.microsoft.com/office/drawing/2014/main" id="{1DCC76BA-5C64-4742-8EDA-272870706426}"/>
            </a:ext>
          </a:extLst>
        </xdr:cNvPr>
        <xdr:cNvSpPr/>
      </xdr:nvSpPr>
      <xdr:spPr>
        <a:xfrm>
          <a:off x="6823948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44</a:t>
          </a:r>
        </a:p>
      </xdr:txBody>
    </xdr:sp>
    <xdr:clientData/>
  </xdr:twoCellAnchor>
  <xdr:twoCellAnchor>
    <xdr:from>
      <xdr:col>22</xdr:col>
      <xdr:colOff>26579</xdr:colOff>
      <xdr:row>32</xdr:row>
      <xdr:rowOff>28575</xdr:rowOff>
    </xdr:from>
    <xdr:to>
      <xdr:col>26</xdr:col>
      <xdr:colOff>91019</xdr:colOff>
      <xdr:row>37</xdr:row>
      <xdr:rowOff>66675</xdr:rowOff>
    </xdr:to>
    <xdr:sp macro="" textlink="">
      <xdr:nvSpPr>
        <xdr:cNvPr id="296" name="Tile45">
          <a:extLst>
            <a:ext uri="{FF2B5EF4-FFF2-40B4-BE49-F238E27FC236}">
              <a16:creationId xmlns:a16="http://schemas.microsoft.com/office/drawing/2014/main" id="{D5CFA196-A257-4A55-9D37-480B302875BA}"/>
            </a:ext>
          </a:extLst>
        </xdr:cNvPr>
        <xdr:cNvSpPr/>
      </xdr:nvSpPr>
      <xdr:spPr>
        <a:xfrm>
          <a:off x="2122079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45</a:t>
          </a:r>
        </a:p>
      </xdr:txBody>
    </xdr:sp>
    <xdr:clientData/>
  </xdr:twoCellAnchor>
  <xdr:twoCellAnchor>
    <xdr:from>
      <xdr:col>27</xdr:col>
      <xdr:colOff>45263</xdr:colOff>
      <xdr:row>32</xdr:row>
      <xdr:rowOff>28575</xdr:rowOff>
    </xdr:from>
    <xdr:to>
      <xdr:col>32</xdr:col>
      <xdr:colOff>14453</xdr:colOff>
      <xdr:row>37</xdr:row>
      <xdr:rowOff>66675</xdr:rowOff>
    </xdr:to>
    <xdr:sp macro="" textlink="">
      <xdr:nvSpPr>
        <xdr:cNvPr id="297" name="Tile46">
          <a:extLst>
            <a:ext uri="{FF2B5EF4-FFF2-40B4-BE49-F238E27FC236}">
              <a16:creationId xmlns:a16="http://schemas.microsoft.com/office/drawing/2014/main" id="{D5B48137-C7F1-4DA9-A45C-1D34AD5A993A}"/>
            </a:ext>
          </a:extLst>
        </xdr:cNvPr>
        <xdr:cNvSpPr/>
      </xdr:nvSpPr>
      <xdr:spPr>
        <a:xfrm>
          <a:off x="2617013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46</a:t>
          </a:r>
        </a:p>
      </xdr:txBody>
    </xdr:sp>
    <xdr:clientData/>
  </xdr:twoCellAnchor>
  <xdr:twoCellAnchor>
    <xdr:from>
      <xdr:col>32</xdr:col>
      <xdr:colOff>63946</xdr:colOff>
      <xdr:row>32</xdr:row>
      <xdr:rowOff>28575</xdr:rowOff>
    </xdr:from>
    <xdr:to>
      <xdr:col>37</xdr:col>
      <xdr:colOff>33136</xdr:colOff>
      <xdr:row>37</xdr:row>
      <xdr:rowOff>66675</xdr:rowOff>
    </xdr:to>
    <xdr:sp macro="" textlink="">
      <xdr:nvSpPr>
        <xdr:cNvPr id="298" name="Tile47">
          <a:extLst>
            <a:ext uri="{FF2B5EF4-FFF2-40B4-BE49-F238E27FC236}">
              <a16:creationId xmlns:a16="http://schemas.microsoft.com/office/drawing/2014/main" id="{4CE5FCBF-BFDE-43EC-9485-52B6540339D7}"/>
            </a:ext>
          </a:extLst>
        </xdr:cNvPr>
        <xdr:cNvSpPr/>
      </xdr:nvSpPr>
      <xdr:spPr>
        <a:xfrm>
          <a:off x="3111946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47</a:t>
          </a:r>
        </a:p>
      </xdr:txBody>
    </xdr:sp>
    <xdr:clientData/>
  </xdr:twoCellAnchor>
  <xdr:twoCellAnchor>
    <xdr:from>
      <xdr:col>37</xdr:col>
      <xdr:colOff>82630</xdr:colOff>
      <xdr:row>32</xdr:row>
      <xdr:rowOff>28575</xdr:rowOff>
    </xdr:from>
    <xdr:to>
      <xdr:col>42</xdr:col>
      <xdr:colOff>51820</xdr:colOff>
      <xdr:row>37</xdr:row>
      <xdr:rowOff>66675</xdr:rowOff>
    </xdr:to>
    <xdr:sp macro="" textlink="">
      <xdr:nvSpPr>
        <xdr:cNvPr id="299" name="Tile48">
          <a:extLst>
            <a:ext uri="{FF2B5EF4-FFF2-40B4-BE49-F238E27FC236}">
              <a16:creationId xmlns:a16="http://schemas.microsoft.com/office/drawing/2014/main" id="{8AF3C3AA-6B30-401C-B6D1-FBFEE812A34E}"/>
            </a:ext>
          </a:extLst>
        </xdr:cNvPr>
        <xdr:cNvSpPr/>
      </xdr:nvSpPr>
      <xdr:spPr>
        <a:xfrm>
          <a:off x="3606880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48</a:t>
          </a:r>
        </a:p>
      </xdr:txBody>
    </xdr:sp>
    <xdr:clientData/>
  </xdr:twoCellAnchor>
  <xdr:twoCellAnchor>
    <xdr:from>
      <xdr:col>43</xdr:col>
      <xdr:colOff>6063</xdr:colOff>
      <xdr:row>32</xdr:row>
      <xdr:rowOff>28575</xdr:rowOff>
    </xdr:from>
    <xdr:to>
      <xdr:col>47</xdr:col>
      <xdr:colOff>70503</xdr:colOff>
      <xdr:row>37</xdr:row>
      <xdr:rowOff>66675</xdr:rowOff>
    </xdr:to>
    <xdr:sp macro="" textlink="">
      <xdr:nvSpPr>
        <xdr:cNvPr id="300" name="Tile49">
          <a:extLst>
            <a:ext uri="{FF2B5EF4-FFF2-40B4-BE49-F238E27FC236}">
              <a16:creationId xmlns:a16="http://schemas.microsoft.com/office/drawing/2014/main" id="{05046DBC-F0E6-4CA6-A593-C8E89E5F85A7}"/>
            </a:ext>
          </a:extLst>
        </xdr:cNvPr>
        <xdr:cNvSpPr/>
      </xdr:nvSpPr>
      <xdr:spPr>
        <a:xfrm>
          <a:off x="4101813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49</a:t>
          </a:r>
        </a:p>
      </xdr:txBody>
    </xdr:sp>
    <xdr:clientData/>
  </xdr:twoCellAnchor>
  <xdr:twoCellAnchor>
    <xdr:from>
      <xdr:col>48</xdr:col>
      <xdr:colOff>24747</xdr:colOff>
      <xdr:row>32</xdr:row>
      <xdr:rowOff>28575</xdr:rowOff>
    </xdr:from>
    <xdr:to>
      <xdr:col>52</xdr:col>
      <xdr:colOff>89187</xdr:colOff>
      <xdr:row>37</xdr:row>
      <xdr:rowOff>66675</xdr:rowOff>
    </xdr:to>
    <xdr:sp macro="" textlink="">
      <xdr:nvSpPr>
        <xdr:cNvPr id="301" name="Tile50">
          <a:extLst>
            <a:ext uri="{FF2B5EF4-FFF2-40B4-BE49-F238E27FC236}">
              <a16:creationId xmlns:a16="http://schemas.microsoft.com/office/drawing/2014/main" id="{3EAC836E-1966-4E3F-86CC-B86B62F3903C}"/>
            </a:ext>
          </a:extLst>
        </xdr:cNvPr>
        <xdr:cNvSpPr/>
      </xdr:nvSpPr>
      <xdr:spPr>
        <a:xfrm>
          <a:off x="4596747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accent3">
            <a:lumMod val="7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50</a:t>
          </a:r>
        </a:p>
      </xdr:txBody>
    </xdr:sp>
    <xdr:clientData/>
  </xdr:twoCellAnchor>
  <xdr:twoCellAnchor>
    <xdr:from>
      <xdr:col>53</xdr:col>
      <xdr:colOff>43430</xdr:colOff>
      <xdr:row>32</xdr:row>
      <xdr:rowOff>28575</xdr:rowOff>
    </xdr:from>
    <xdr:to>
      <xdr:col>58</xdr:col>
      <xdr:colOff>12620</xdr:colOff>
      <xdr:row>37</xdr:row>
      <xdr:rowOff>66675</xdr:rowOff>
    </xdr:to>
    <xdr:sp macro="" textlink="">
      <xdr:nvSpPr>
        <xdr:cNvPr id="302" name="Tile51">
          <a:extLst>
            <a:ext uri="{FF2B5EF4-FFF2-40B4-BE49-F238E27FC236}">
              <a16:creationId xmlns:a16="http://schemas.microsoft.com/office/drawing/2014/main" id="{F479D995-63C4-4B62-87F4-C8805CCDFEAF}"/>
            </a:ext>
          </a:extLst>
        </xdr:cNvPr>
        <xdr:cNvSpPr/>
      </xdr:nvSpPr>
      <xdr:spPr>
        <a:xfrm>
          <a:off x="5091680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51</a:t>
          </a:r>
        </a:p>
      </xdr:txBody>
    </xdr:sp>
    <xdr:clientData/>
  </xdr:twoCellAnchor>
  <xdr:twoCellAnchor>
    <xdr:from>
      <xdr:col>58</xdr:col>
      <xdr:colOff>62114</xdr:colOff>
      <xdr:row>32</xdr:row>
      <xdr:rowOff>28575</xdr:rowOff>
    </xdr:from>
    <xdr:to>
      <xdr:col>63</xdr:col>
      <xdr:colOff>31304</xdr:colOff>
      <xdr:row>37</xdr:row>
      <xdr:rowOff>66675</xdr:rowOff>
    </xdr:to>
    <xdr:sp macro="" textlink="">
      <xdr:nvSpPr>
        <xdr:cNvPr id="303" name="Tile52">
          <a:extLst>
            <a:ext uri="{FF2B5EF4-FFF2-40B4-BE49-F238E27FC236}">
              <a16:creationId xmlns:a16="http://schemas.microsoft.com/office/drawing/2014/main" id="{7A6FE659-FE82-4D22-9D6E-D2E07B9A79B6}"/>
            </a:ext>
          </a:extLst>
        </xdr:cNvPr>
        <xdr:cNvSpPr/>
      </xdr:nvSpPr>
      <xdr:spPr>
        <a:xfrm>
          <a:off x="5586614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52</a:t>
          </a:r>
        </a:p>
      </xdr:txBody>
    </xdr:sp>
    <xdr:clientData/>
  </xdr:twoCellAnchor>
  <xdr:twoCellAnchor>
    <xdr:from>
      <xdr:col>63</xdr:col>
      <xdr:colOff>80797</xdr:colOff>
      <xdr:row>32</xdr:row>
      <xdr:rowOff>28575</xdr:rowOff>
    </xdr:from>
    <xdr:to>
      <xdr:col>68</xdr:col>
      <xdr:colOff>49987</xdr:colOff>
      <xdr:row>37</xdr:row>
      <xdr:rowOff>66675</xdr:rowOff>
    </xdr:to>
    <xdr:sp macro="" textlink="">
      <xdr:nvSpPr>
        <xdr:cNvPr id="304" name="Tile53">
          <a:extLst>
            <a:ext uri="{FF2B5EF4-FFF2-40B4-BE49-F238E27FC236}">
              <a16:creationId xmlns:a16="http://schemas.microsoft.com/office/drawing/2014/main" id="{3F04D661-3BD3-4869-BB05-121F61E38B72}"/>
            </a:ext>
          </a:extLst>
        </xdr:cNvPr>
        <xdr:cNvSpPr/>
      </xdr:nvSpPr>
      <xdr:spPr>
        <a:xfrm>
          <a:off x="6081547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accent3">
            <a:lumMod val="7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53</a:t>
          </a:r>
        </a:p>
      </xdr:txBody>
    </xdr:sp>
    <xdr:clientData/>
  </xdr:twoCellAnchor>
  <xdr:twoCellAnchor>
    <xdr:from>
      <xdr:col>69</xdr:col>
      <xdr:colOff>4231</xdr:colOff>
      <xdr:row>32</xdr:row>
      <xdr:rowOff>28575</xdr:rowOff>
    </xdr:from>
    <xdr:to>
      <xdr:col>73</xdr:col>
      <xdr:colOff>68671</xdr:colOff>
      <xdr:row>37</xdr:row>
      <xdr:rowOff>66675</xdr:rowOff>
    </xdr:to>
    <xdr:sp macro="" textlink="">
      <xdr:nvSpPr>
        <xdr:cNvPr id="305" name="Tile54">
          <a:extLst>
            <a:ext uri="{FF2B5EF4-FFF2-40B4-BE49-F238E27FC236}">
              <a16:creationId xmlns:a16="http://schemas.microsoft.com/office/drawing/2014/main" id="{1674666B-F064-4904-9225-3235AF8B3F16}"/>
            </a:ext>
          </a:extLst>
        </xdr:cNvPr>
        <xdr:cNvSpPr/>
      </xdr:nvSpPr>
      <xdr:spPr>
        <a:xfrm>
          <a:off x="6576481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54</a:t>
          </a:r>
        </a:p>
      </xdr:txBody>
    </xdr:sp>
    <xdr:clientData/>
  </xdr:twoCellAnchor>
  <xdr:twoCellAnchor>
    <xdr:from>
      <xdr:col>24</xdr:col>
      <xdr:colOff>83546</xdr:colOff>
      <xdr:row>36</xdr:row>
      <xdr:rowOff>76200</xdr:rowOff>
    </xdr:from>
    <xdr:to>
      <xdr:col>29</xdr:col>
      <xdr:colOff>52736</xdr:colOff>
      <xdr:row>42</xdr:row>
      <xdr:rowOff>19050</xdr:rowOff>
    </xdr:to>
    <xdr:sp macro="" textlink="">
      <xdr:nvSpPr>
        <xdr:cNvPr id="306" name="Tile55">
          <a:extLst>
            <a:ext uri="{FF2B5EF4-FFF2-40B4-BE49-F238E27FC236}">
              <a16:creationId xmlns:a16="http://schemas.microsoft.com/office/drawing/2014/main" id="{AF65E2C7-E1D1-49DE-B807-A775C6A88719}"/>
            </a:ext>
          </a:extLst>
        </xdr:cNvPr>
        <xdr:cNvSpPr/>
      </xdr:nvSpPr>
      <xdr:spPr>
        <a:xfrm>
          <a:off x="2369546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55</a:t>
          </a:r>
        </a:p>
      </xdr:txBody>
    </xdr:sp>
    <xdr:clientData/>
  </xdr:twoCellAnchor>
  <xdr:twoCellAnchor>
    <xdr:from>
      <xdr:col>30</xdr:col>
      <xdr:colOff>6979</xdr:colOff>
      <xdr:row>36</xdr:row>
      <xdr:rowOff>76200</xdr:rowOff>
    </xdr:from>
    <xdr:to>
      <xdr:col>34</xdr:col>
      <xdr:colOff>71419</xdr:colOff>
      <xdr:row>42</xdr:row>
      <xdr:rowOff>19050</xdr:rowOff>
    </xdr:to>
    <xdr:sp macro="" textlink="">
      <xdr:nvSpPr>
        <xdr:cNvPr id="307" name="Tile56">
          <a:extLst>
            <a:ext uri="{FF2B5EF4-FFF2-40B4-BE49-F238E27FC236}">
              <a16:creationId xmlns:a16="http://schemas.microsoft.com/office/drawing/2014/main" id="{9F5C36BD-9E1D-4625-876F-3D5FF3C6133D}"/>
            </a:ext>
          </a:extLst>
        </xdr:cNvPr>
        <xdr:cNvSpPr/>
      </xdr:nvSpPr>
      <xdr:spPr>
        <a:xfrm>
          <a:off x="2864479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56</a:t>
          </a:r>
        </a:p>
      </xdr:txBody>
    </xdr:sp>
    <xdr:clientData/>
  </xdr:twoCellAnchor>
  <xdr:twoCellAnchor>
    <xdr:from>
      <xdr:col>35</xdr:col>
      <xdr:colOff>25663</xdr:colOff>
      <xdr:row>36</xdr:row>
      <xdr:rowOff>76200</xdr:rowOff>
    </xdr:from>
    <xdr:to>
      <xdr:col>39</xdr:col>
      <xdr:colOff>90103</xdr:colOff>
      <xdr:row>42</xdr:row>
      <xdr:rowOff>19050</xdr:rowOff>
    </xdr:to>
    <xdr:sp macro="" textlink="">
      <xdr:nvSpPr>
        <xdr:cNvPr id="308" name="Tile57">
          <a:extLst>
            <a:ext uri="{FF2B5EF4-FFF2-40B4-BE49-F238E27FC236}">
              <a16:creationId xmlns:a16="http://schemas.microsoft.com/office/drawing/2014/main" id="{431F16CA-D6CA-40DB-A8F0-7F496B8DC164}"/>
            </a:ext>
          </a:extLst>
        </xdr:cNvPr>
        <xdr:cNvSpPr/>
      </xdr:nvSpPr>
      <xdr:spPr>
        <a:xfrm>
          <a:off x="3359413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57</a:t>
          </a:r>
        </a:p>
      </xdr:txBody>
    </xdr:sp>
    <xdr:clientData/>
  </xdr:twoCellAnchor>
  <xdr:twoCellAnchor>
    <xdr:from>
      <xdr:col>40</xdr:col>
      <xdr:colOff>44347</xdr:colOff>
      <xdr:row>36</xdr:row>
      <xdr:rowOff>76200</xdr:rowOff>
    </xdr:from>
    <xdr:to>
      <xdr:col>45</xdr:col>
      <xdr:colOff>13537</xdr:colOff>
      <xdr:row>42</xdr:row>
      <xdr:rowOff>19050</xdr:rowOff>
    </xdr:to>
    <xdr:sp macro="" textlink="">
      <xdr:nvSpPr>
        <xdr:cNvPr id="309" name="Tile58">
          <a:extLst>
            <a:ext uri="{FF2B5EF4-FFF2-40B4-BE49-F238E27FC236}">
              <a16:creationId xmlns:a16="http://schemas.microsoft.com/office/drawing/2014/main" id="{E326B1D3-7A07-4C72-B493-716D395C3428}"/>
            </a:ext>
          </a:extLst>
        </xdr:cNvPr>
        <xdr:cNvSpPr/>
      </xdr:nvSpPr>
      <xdr:spPr>
        <a:xfrm>
          <a:off x="3854347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58</a:t>
          </a:r>
        </a:p>
      </xdr:txBody>
    </xdr:sp>
    <xdr:clientData/>
  </xdr:twoCellAnchor>
  <xdr:twoCellAnchor>
    <xdr:from>
      <xdr:col>45</xdr:col>
      <xdr:colOff>63030</xdr:colOff>
      <xdr:row>36</xdr:row>
      <xdr:rowOff>76200</xdr:rowOff>
    </xdr:from>
    <xdr:to>
      <xdr:col>50</xdr:col>
      <xdr:colOff>32220</xdr:colOff>
      <xdr:row>42</xdr:row>
      <xdr:rowOff>19050</xdr:rowOff>
    </xdr:to>
    <xdr:sp macro="" textlink="">
      <xdr:nvSpPr>
        <xdr:cNvPr id="310" name="Tile59">
          <a:extLst>
            <a:ext uri="{FF2B5EF4-FFF2-40B4-BE49-F238E27FC236}">
              <a16:creationId xmlns:a16="http://schemas.microsoft.com/office/drawing/2014/main" id="{D5E62377-AA01-4944-BED1-E9853C49F684}"/>
            </a:ext>
          </a:extLst>
        </xdr:cNvPr>
        <xdr:cNvSpPr/>
      </xdr:nvSpPr>
      <xdr:spPr>
        <a:xfrm>
          <a:off x="4349280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accent5">
            <a:lumMod val="7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59</a:t>
          </a:r>
        </a:p>
      </xdr:txBody>
    </xdr:sp>
    <xdr:clientData/>
  </xdr:twoCellAnchor>
  <xdr:twoCellAnchor>
    <xdr:from>
      <xdr:col>50</xdr:col>
      <xdr:colOff>81714</xdr:colOff>
      <xdr:row>36</xdr:row>
      <xdr:rowOff>76200</xdr:rowOff>
    </xdr:from>
    <xdr:to>
      <xdr:col>55</xdr:col>
      <xdr:colOff>50904</xdr:colOff>
      <xdr:row>42</xdr:row>
      <xdr:rowOff>19050</xdr:rowOff>
    </xdr:to>
    <xdr:sp macro="" textlink="">
      <xdr:nvSpPr>
        <xdr:cNvPr id="311" name="Tile60">
          <a:extLst>
            <a:ext uri="{FF2B5EF4-FFF2-40B4-BE49-F238E27FC236}">
              <a16:creationId xmlns:a16="http://schemas.microsoft.com/office/drawing/2014/main" id="{9E08F15E-604A-4C1B-AC6B-6BBA646ACE3E}"/>
            </a:ext>
          </a:extLst>
        </xdr:cNvPr>
        <xdr:cNvSpPr/>
      </xdr:nvSpPr>
      <xdr:spPr>
        <a:xfrm>
          <a:off x="4844214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60</a:t>
          </a:r>
        </a:p>
      </xdr:txBody>
    </xdr:sp>
    <xdr:clientData/>
  </xdr:twoCellAnchor>
  <xdr:twoCellAnchor>
    <xdr:from>
      <xdr:col>56</xdr:col>
      <xdr:colOff>5147</xdr:colOff>
      <xdr:row>36</xdr:row>
      <xdr:rowOff>76200</xdr:rowOff>
    </xdr:from>
    <xdr:to>
      <xdr:col>60</xdr:col>
      <xdr:colOff>69587</xdr:colOff>
      <xdr:row>42</xdr:row>
      <xdr:rowOff>19050</xdr:rowOff>
    </xdr:to>
    <xdr:sp macro="" textlink="">
      <xdr:nvSpPr>
        <xdr:cNvPr id="312" name="Tile61">
          <a:extLst>
            <a:ext uri="{FF2B5EF4-FFF2-40B4-BE49-F238E27FC236}">
              <a16:creationId xmlns:a16="http://schemas.microsoft.com/office/drawing/2014/main" id="{90291BF9-C6C9-48B8-BAA9-72ED3EA874BE}"/>
            </a:ext>
          </a:extLst>
        </xdr:cNvPr>
        <xdr:cNvSpPr/>
      </xdr:nvSpPr>
      <xdr:spPr>
        <a:xfrm>
          <a:off x="5339147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tx2">
            <a:lumMod val="60000"/>
            <a:lumOff val="40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61</a:t>
          </a:r>
        </a:p>
      </xdr:txBody>
    </xdr:sp>
    <xdr:clientData/>
  </xdr:twoCellAnchor>
  <xdr:twoCellAnchor>
    <xdr:from>
      <xdr:col>61</xdr:col>
      <xdr:colOff>23831</xdr:colOff>
      <xdr:row>36</xdr:row>
      <xdr:rowOff>76200</xdr:rowOff>
    </xdr:from>
    <xdr:to>
      <xdr:col>65</xdr:col>
      <xdr:colOff>88271</xdr:colOff>
      <xdr:row>42</xdr:row>
      <xdr:rowOff>19050</xdr:rowOff>
    </xdr:to>
    <xdr:sp macro="" textlink="">
      <xdr:nvSpPr>
        <xdr:cNvPr id="313" name="Tile62">
          <a:extLst>
            <a:ext uri="{FF2B5EF4-FFF2-40B4-BE49-F238E27FC236}">
              <a16:creationId xmlns:a16="http://schemas.microsoft.com/office/drawing/2014/main" id="{A133D6DA-BE5D-4887-80F5-180FF7528F3B}"/>
            </a:ext>
          </a:extLst>
        </xdr:cNvPr>
        <xdr:cNvSpPr/>
      </xdr:nvSpPr>
      <xdr:spPr>
        <a:xfrm>
          <a:off x="5834081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62</a:t>
          </a:r>
        </a:p>
      </xdr:txBody>
    </xdr:sp>
    <xdr:clientData/>
  </xdr:twoCellAnchor>
  <xdr:twoCellAnchor>
    <xdr:from>
      <xdr:col>66</xdr:col>
      <xdr:colOff>42514</xdr:colOff>
      <xdr:row>36</xdr:row>
      <xdr:rowOff>76200</xdr:rowOff>
    </xdr:from>
    <xdr:to>
      <xdr:col>71</xdr:col>
      <xdr:colOff>11704</xdr:colOff>
      <xdr:row>42</xdr:row>
      <xdr:rowOff>19050</xdr:rowOff>
    </xdr:to>
    <xdr:sp macro="" textlink="">
      <xdr:nvSpPr>
        <xdr:cNvPr id="314" name="Tile63">
          <a:extLst>
            <a:ext uri="{FF2B5EF4-FFF2-40B4-BE49-F238E27FC236}">
              <a16:creationId xmlns:a16="http://schemas.microsoft.com/office/drawing/2014/main" id="{DDA40D71-9054-4AF6-9268-DF5E39E095A9}"/>
            </a:ext>
          </a:extLst>
        </xdr:cNvPr>
        <xdr:cNvSpPr/>
      </xdr:nvSpPr>
      <xdr:spPr>
        <a:xfrm>
          <a:off x="6329014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accent5">
            <a:lumMod val="7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63</a:t>
          </a:r>
        </a:p>
      </xdr:txBody>
    </xdr:sp>
    <xdr:clientData/>
  </xdr:twoCellAnchor>
  <xdr:twoCellAnchor>
    <xdr:from>
      <xdr:col>27</xdr:col>
      <xdr:colOff>45263</xdr:colOff>
      <xdr:row>41</xdr:row>
      <xdr:rowOff>28575</xdr:rowOff>
    </xdr:from>
    <xdr:to>
      <xdr:col>32</xdr:col>
      <xdr:colOff>14453</xdr:colOff>
      <xdr:row>46</xdr:row>
      <xdr:rowOff>66675</xdr:rowOff>
    </xdr:to>
    <xdr:sp macro="" textlink="">
      <xdr:nvSpPr>
        <xdr:cNvPr id="315" name="Tile64">
          <a:extLst>
            <a:ext uri="{FF2B5EF4-FFF2-40B4-BE49-F238E27FC236}">
              <a16:creationId xmlns:a16="http://schemas.microsoft.com/office/drawing/2014/main" id="{5B8C95E7-2E0B-4290-ADB8-7E6237F4E01F}"/>
            </a:ext>
          </a:extLst>
        </xdr:cNvPr>
        <xdr:cNvSpPr/>
      </xdr:nvSpPr>
      <xdr:spPr>
        <a:xfrm>
          <a:off x="2617013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64</a:t>
          </a:r>
        </a:p>
      </xdr:txBody>
    </xdr:sp>
    <xdr:clientData/>
  </xdr:twoCellAnchor>
  <xdr:twoCellAnchor>
    <xdr:from>
      <xdr:col>32</xdr:col>
      <xdr:colOff>63946</xdr:colOff>
      <xdr:row>41</xdr:row>
      <xdr:rowOff>28575</xdr:rowOff>
    </xdr:from>
    <xdr:to>
      <xdr:col>37</xdr:col>
      <xdr:colOff>33136</xdr:colOff>
      <xdr:row>46</xdr:row>
      <xdr:rowOff>66675</xdr:rowOff>
    </xdr:to>
    <xdr:sp macro="" textlink="">
      <xdr:nvSpPr>
        <xdr:cNvPr id="316" name="Tile65">
          <a:extLst>
            <a:ext uri="{FF2B5EF4-FFF2-40B4-BE49-F238E27FC236}">
              <a16:creationId xmlns:a16="http://schemas.microsoft.com/office/drawing/2014/main" id="{70D3848B-EC2D-4758-A5E2-D10464DA29E4}"/>
            </a:ext>
          </a:extLst>
        </xdr:cNvPr>
        <xdr:cNvSpPr/>
      </xdr:nvSpPr>
      <xdr:spPr>
        <a:xfrm>
          <a:off x="3111946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65</a:t>
          </a:r>
        </a:p>
      </xdr:txBody>
    </xdr:sp>
    <xdr:clientData/>
  </xdr:twoCellAnchor>
  <xdr:twoCellAnchor>
    <xdr:from>
      <xdr:col>37</xdr:col>
      <xdr:colOff>82630</xdr:colOff>
      <xdr:row>41</xdr:row>
      <xdr:rowOff>28575</xdr:rowOff>
    </xdr:from>
    <xdr:to>
      <xdr:col>42</xdr:col>
      <xdr:colOff>51820</xdr:colOff>
      <xdr:row>46</xdr:row>
      <xdr:rowOff>66675</xdr:rowOff>
    </xdr:to>
    <xdr:sp macro="" textlink="">
      <xdr:nvSpPr>
        <xdr:cNvPr id="317" name="Tile66">
          <a:extLst>
            <a:ext uri="{FF2B5EF4-FFF2-40B4-BE49-F238E27FC236}">
              <a16:creationId xmlns:a16="http://schemas.microsoft.com/office/drawing/2014/main" id="{1CDCAEF1-46BF-4EC8-AD10-96C5DB3881B9}"/>
            </a:ext>
          </a:extLst>
        </xdr:cNvPr>
        <xdr:cNvSpPr/>
      </xdr:nvSpPr>
      <xdr:spPr>
        <a:xfrm>
          <a:off x="3606880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66</a:t>
          </a:r>
        </a:p>
      </xdr:txBody>
    </xdr:sp>
    <xdr:clientData/>
  </xdr:twoCellAnchor>
  <xdr:twoCellAnchor>
    <xdr:from>
      <xdr:col>43</xdr:col>
      <xdr:colOff>6063</xdr:colOff>
      <xdr:row>41</xdr:row>
      <xdr:rowOff>28575</xdr:rowOff>
    </xdr:from>
    <xdr:to>
      <xdr:col>47</xdr:col>
      <xdr:colOff>70503</xdr:colOff>
      <xdr:row>46</xdr:row>
      <xdr:rowOff>66675</xdr:rowOff>
    </xdr:to>
    <xdr:sp macro="" textlink="">
      <xdr:nvSpPr>
        <xdr:cNvPr id="318" name="Tile67">
          <a:extLst>
            <a:ext uri="{FF2B5EF4-FFF2-40B4-BE49-F238E27FC236}">
              <a16:creationId xmlns:a16="http://schemas.microsoft.com/office/drawing/2014/main" id="{03EBCB05-70C0-4441-8F97-B2B0740E696E}"/>
            </a:ext>
          </a:extLst>
        </xdr:cNvPr>
        <xdr:cNvSpPr/>
      </xdr:nvSpPr>
      <xdr:spPr>
        <a:xfrm>
          <a:off x="4101813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67</a:t>
          </a:r>
        </a:p>
      </xdr:txBody>
    </xdr:sp>
    <xdr:clientData/>
  </xdr:twoCellAnchor>
  <xdr:twoCellAnchor>
    <xdr:from>
      <xdr:col>48</xdr:col>
      <xdr:colOff>24747</xdr:colOff>
      <xdr:row>41</xdr:row>
      <xdr:rowOff>28575</xdr:rowOff>
    </xdr:from>
    <xdr:to>
      <xdr:col>52</xdr:col>
      <xdr:colOff>89187</xdr:colOff>
      <xdr:row>46</xdr:row>
      <xdr:rowOff>66675</xdr:rowOff>
    </xdr:to>
    <xdr:sp macro="" textlink="">
      <xdr:nvSpPr>
        <xdr:cNvPr id="319" name="Tile68">
          <a:extLst>
            <a:ext uri="{FF2B5EF4-FFF2-40B4-BE49-F238E27FC236}">
              <a16:creationId xmlns:a16="http://schemas.microsoft.com/office/drawing/2014/main" id="{61FFCB95-9A7C-40EF-8754-0F418C7614F3}"/>
            </a:ext>
          </a:extLst>
        </xdr:cNvPr>
        <xdr:cNvSpPr/>
      </xdr:nvSpPr>
      <xdr:spPr>
        <a:xfrm>
          <a:off x="4596747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accent3">
            <a:lumMod val="7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68</a:t>
          </a:r>
        </a:p>
      </xdr:txBody>
    </xdr:sp>
    <xdr:clientData/>
  </xdr:twoCellAnchor>
  <xdr:twoCellAnchor>
    <xdr:from>
      <xdr:col>53</xdr:col>
      <xdr:colOff>43430</xdr:colOff>
      <xdr:row>41</xdr:row>
      <xdr:rowOff>28575</xdr:rowOff>
    </xdr:from>
    <xdr:to>
      <xdr:col>58</xdr:col>
      <xdr:colOff>12620</xdr:colOff>
      <xdr:row>46</xdr:row>
      <xdr:rowOff>66675</xdr:rowOff>
    </xdr:to>
    <xdr:sp macro="" textlink="">
      <xdr:nvSpPr>
        <xdr:cNvPr id="320" name="Tile69">
          <a:extLst>
            <a:ext uri="{FF2B5EF4-FFF2-40B4-BE49-F238E27FC236}">
              <a16:creationId xmlns:a16="http://schemas.microsoft.com/office/drawing/2014/main" id="{6ED8A12C-A8CA-4B63-A34B-9F499206E3B6}"/>
            </a:ext>
          </a:extLst>
        </xdr:cNvPr>
        <xdr:cNvSpPr/>
      </xdr:nvSpPr>
      <xdr:spPr>
        <a:xfrm>
          <a:off x="5091680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69</a:t>
          </a:r>
        </a:p>
      </xdr:txBody>
    </xdr:sp>
    <xdr:clientData/>
  </xdr:twoCellAnchor>
  <xdr:twoCellAnchor>
    <xdr:from>
      <xdr:col>58</xdr:col>
      <xdr:colOff>62114</xdr:colOff>
      <xdr:row>41</xdr:row>
      <xdr:rowOff>28575</xdr:rowOff>
    </xdr:from>
    <xdr:to>
      <xdr:col>63</xdr:col>
      <xdr:colOff>31304</xdr:colOff>
      <xdr:row>46</xdr:row>
      <xdr:rowOff>66675</xdr:rowOff>
    </xdr:to>
    <xdr:sp macro="" textlink="">
      <xdr:nvSpPr>
        <xdr:cNvPr id="321" name="Tile70">
          <a:extLst>
            <a:ext uri="{FF2B5EF4-FFF2-40B4-BE49-F238E27FC236}">
              <a16:creationId xmlns:a16="http://schemas.microsoft.com/office/drawing/2014/main" id="{15BFA1AD-F31F-4DD4-A80C-36BE4830A200}"/>
            </a:ext>
          </a:extLst>
        </xdr:cNvPr>
        <xdr:cNvSpPr/>
      </xdr:nvSpPr>
      <xdr:spPr>
        <a:xfrm>
          <a:off x="5586614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70</a:t>
          </a:r>
        </a:p>
      </xdr:txBody>
    </xdr:sp>
    <xdr:clientData/>
  </xdr:twoCellAnchor>
  <xdr:twoCellAnchor>
    <xdr:from>
      <xdr:col>63</xdr:col>
      <xdr:colOff>80797</xdr:colOff>
      <xdr:row>41</xdr:row>
      <xdr:rowOff>28575</xdr:rowOff>
    </xdr:from>
    <xdr:to>
      <xdr:col>68</xdr:col>
      <xdr:colOff>49987</xdr:colOff>
      <xdr:row>46</xdr:row>
      <xdr:rowOff>66675</xdr:rowOff>
    </xdr:to>
    <xdr:sp macro="" textlink="">
      <xdr:nvSpPr>
        <xdr:cNvPr id="322" name="Tile71">
          <a:extLst>
            <a:ext uri="{FF2B5EF4-FFF2-40B4-BE49-F238E27FC236}">
              <a16:creationId xmlns:a16="http://schemas.microsoft.com/office/drawing/2014/main" id="{E3B422FB-AA5B-4EB0-9992-C02EF67796B4}"/>
            </a:ext>
          </a:extLst>
        </xdr:cNvPr>
        <xdr:cNvSpPr/>
      </xdr:nvSpPr>
      <xdr:spPr>
        <a:xfrm>
          <a:off x="6081547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accent3">
            <a:lumMod val="7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71</a:t>
          </a:r>
        </a:p>
      </xdr:txBody>
    </xdr:sp>
    <xdr:clientData/>
  </xdr:twoCellAnchor>
  <xdr:twoCellAnchor>
    <xdr:from>
      <xdr:col>30</xdr:col>
      <xdr:colOff>6979</xdr:colOff>
      <xdr:row>45</xdr:row>
      <xdr:rowOff>76200</xdr:rowOff>
    </xdr:from>
    <xdr:to>
      <xdr:col>34</xdr:col>
      <xdr:colOff>71419</xdr:colOff>
      <xdr:row>51</xdr:row>
      <xdr:rowOff>19050</xdr:rowOff>
    </xdr:to>
    <xdr:sp macro="" textlink="">
      <xdr:nvSpPr>
        <xdr:cNvPr id="323" name="Tile72">
          <a:extLst>
            <a:ext uri="{FF2B5EF4-FFF2-40B4-BE49-F238E27FC236}">
              <a16:creationId xmlns:a16="http://schemas.microsoft.com/office/drawing/2014/main" id="{845653DB-A2E5-4356-8826-83255960378C}"/>
            </a:ext>
          </a:extLst>
        </xdr:cNvPr>
        <xdr:cNvSpPr/>
      </xdr:nvSpPr>
      <xdr:spPr>
        <a:xfrm>
          <a:off x="2864479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72</a:t>
          </a:r>
        </a:p>
      </xdr:txBody>
    </xdr:sp>
    <xdr:clientData/>
  </xdr:twoCellAnchor>
  <xdr:twoCellAnchor>
    <xdr:from>
      <xdr:col>35</xdr:col>
      <xdr:colOff>25663</xdr:colOff>
      <xdr:row>45</xdr:row>
      <xdr:rowOff>76200</xdr:rowOff>
    </xdr:from>
    <xdr:to>
      <xdr:col>39</xdr:col>
      <xdr:colOff>90103</xdr:colOff>
      <xdr:row>51</xdr:row>
      <xdr:rowOff>19050</xdr:rowOff>
    </xdr:to>
    <xdr:sp macro="" textlink="">
      <xdr:nvSpPr>
        <xdr:cNvPr id="324" name="Tile73">
          <a:extLst>
            <a:ext uri="{FF2B5EF4-FFF2-40B4-BE49-F238E27FC236}">
              <a16:creationId xmlns:a16="http://schemas.microsoft.com/office/drawing/2014/main" id="{E6233CB7-3D6D-436F-B268-87803707BE9A}"/>
            </a:ext>
          </a:extLst>
        </xdr:cNvPr>
        <xdr:cNvSpPr/>
      </xdr:nvSpPr>
      <xdr:spPr>
        <a:xfrm>
          <a:off x="3359413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73</a:t>
          </a:r>
        </a:p>
      </xdr:txBody>
    </xdr:sp>
    <xdr:clientData/>
  </xdr:twoCellAnchor>
  <xdr:twoCellAnchor>
    <xdr:from>
      <xdr:col>40</xdr:col>
      <xdr:colOff>44347</xdr:colOff>
      <xdr:row>45</xdr:row>
      <xdr:rowOff>76200</xdr:rowOff>
    </xdr:from>
    <xdr:to>
      <xdr:col>45</xdr:col>
      <xdr:colOff>13537</xdr:colOff>
      <xdr:row>51</xdr:row>
      <xdr:rowOff>19050</xdr:rowOff>
    </xdr:to>
    <xdr:sp macro="" textlink="">
      <xdr:nvSpPr>
        <xdr:cNvPr id="325" name="Tile74">
          <a:extLst>
            <a:ext uri="{FF2B5EF4-FFF2-40B4-BE49-F238E27FC236}">
              <a16:creationId xmlns:a16="http://schemas.microsoft.com/office/drawing/2014/main" id="{F95A5F6A-9142-4FBB-8FF2-EEB451097D36}"/>
            </a:ext>
          </a:extLst>
        </xdr:cNvPr>
        <xdr:cNvSpPr/>
      </xdr:nvSpPr>
      <xdr:spPr>
        <a:xfrm>
          <a:off x="3854347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74</a:t>
          </a:r>
        </a:p>
      </xdr:txBody>
    </xdr:sp>
    <xdr:clientData/>
  </xdr:twoCellAnchor>
  <xdr:twoCellAnchor>
    <xdr:from>
      <xdr:col>45</xdr:col>
      <xdr:colOff>63030</xdr:colOff>
      <xdr:row>45</xdr:row>
      <xdr:rowOff>76200</xdr:rowOff>
    </xdr:from>
    <xdr:to>
      <xdr:col>50</xdr:col>
      <xdr:colOff>32220</xdr:colOff>
      <xdr:row>51</xdr:row>
      <xdr:rowOff>19050</xdr:rowOff>
    </xdr:to>
    <xdr:sp macro="" textlink="">
      <xdr:nvSpPr>
        <xdr:cNvPr id="326" name="Tile75">
          <a:extLst>
            <a:ext uri="{FF2B5EF4-FFF2-40B4-BE49-F238E27FC236}">
              <a16:creationId xmlns:a16="http://schemas.microsoft.com/office/drawing/2014/main" id="{B7769533-FA34-4F14-8D6A-63D22F0A350E}"/>
            </a:ext>
          </a:extLst>
        </xdr:cNvPr>
        <xdr:cNvSpPr/>
      </xdr:nvSpPr>
      <xdr:spPr>
        <a:xfrm>
          <a:off x="4349280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75</a:t>
          </a:r>
        </a:p>
      </xdr:txBody>
    </xdr:sp>
    <xdr:clientData/>
  </xdr:twoCellAnchor>
  <xdr:twoCellAnchor>
    <xdr:from>
      <xdr:col>50</xdr:col>
      <xdr:colOff>81714</xdr:colOff>
      <xdr:row>45</xdr:row>
      <xdr:rowOff>76200</xdr:rowOff>
    </xdr:from>
    <xdr:to>
      <xdr:col>55</xdr:col>
      <xdr:colOff>50904</xdr:colOff>
      <xdr:row>51</xdr:row>
      <xdr:rowOff>19050</xdr:rowOff>
    </xdr:to>
    <xdr:sp macro="" textlink="">
      <xdr:nvSpPr>
        <xdr:cNvPr id="327" name="Tile76">
          <a:extLst>
            <a:ext uri="{FF2B5EF4-FFF2-40B4-BE49-F238E27FC236}">
              <a16:creationId xmlns:a16="http://schemas.microsoft.com/office/drawing/2014/main" id="{DD6B8C83-6937-4AD6-86AB-D8C71D34B9E9}"/>
            </a:ext>
          </a:extLst>
        </xdr:cNvPr>
        <xdr:cNvSpPr/>
      </xdr:nvSpPr>
      <xdr:spPr>
        <a:xfrm>
          <a:off x="4844214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accent5">
            <a:lumMod val="7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76</a:t>
          </a:r>
        </a:p>
      </xdr:txBody>
    </xdr:sp>
    <xdr:clientData/>
  </xdr:twoCellAnchor>
  <xdr:twoCellAnchor>
    <xdr:from>
      <xdr:col>56</xdr:col>
      <xdr:colOff>5147</xdr:colOff>
      <xdr:row>45</xdr:row>
      <xdr:rowOff>76200</xdr:rowOff>
    </xdr:from>
    <xdr:to>
      <xdr:col>60</xdr:col>
      <xdr:colOff>69587</xdr:colOff>
      <xdr:row>51</xdr:row>
      <xdr:rowOff>19050</xdr:rowOff>
    </xdr:to>
    <xdr:sp macro="" textlink="">
      <xdr:nvSpPr>
        <xdr:cNvPr id="328" name="Tile77">
          <a:extLst>
            <a:ext uri="{FF2B5EF4-FFF2-40B4-BE49-F238E27FC236}">
              <a16:creationId xmlns:a16="http://schemas.microsoft.com/office/drawing/2014/main" id="{72D6AEA6-4550-4FF9-8DBE-2B78C48C8CA8}"/>
            </a:ext>
          </a:extLst>
        </xdr:cNvPr>
        <xdr:cNvSpPr/>
      </xdr:nvSpPr>
      <xdr:spPr>
        <a:xfrm>
          <a:off x="5339147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accent3">
            <a:lumMod val="7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77</a:t>
          </a:r>
        </a:p>
      </xdr:txBody>
    </xdr:sp>
    <xdr:clientData/>
  </xdr:twoCellAnchor>
  <xdr:twoCellAnchor>
    <xdr:from>
      <xdr:col>61</xdr:col>
      <xdr:colOff>23831</xdr:colOff>
      <xdr:row>45</xdr:row>
      <xdr:rowOff>76200</xdr:rowOff>
    </xdr:from>
    <xdr:to>
      <xdr:col>65</xdr:col>
      <xdr:colOff>88271</xdr:colOff>
      <xdr:row>51</xdr:row>
      <xdr:rowOff>19050</xdr:rowOff>
    </xdr:to>
    <xdr:sp macro="" textlink="">
      <xdr:nvSpPr>
        <xdr:cNvPr id="329" name="Tile78">
          <a:extLst>
            <a:ext uri="{FF2B5EF4-FFF2-40B4-BE49-F238E27FC236}">
              <a16:creationId xmlns:a16="http://schemas.microsoft.com/office/drawing/2014/main" id="{9ECDA0DA-2F0F-46EF-A824-C1A4D412BD95}"/>
            </a:ext>
          </a:extLst>
        </xdr:cNvPr>
        <xdr:cNvSpPr/>
      </xdr:nvSpPr>
      <xdr:spPr>
        <a:xfrm>
          <a:off x="5834081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accent5">
            <a:lumMod val="7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78</a:t>
          </a:r>
        </a:p>
      </xdr:txBody>
    </xdr:sp>
    <xdr:clientData/>
  </xdr:twoCellAnchor>
  <xdr:twoCellAnchor>
    <xdr:from>
      <xdr:col>76</xdr:col>
      <xdr:colOff>0</xdr:colOff>
      <xdr:row>70</xdr:row>
      <xdr:rowOff>95249</xdr:rowOff>
    </xdr:from>
    <xdr:to>
      <xdr:col>87</xdr:col>
      <xdr:colOff>49352</xdr:colOff>
      <xdr:row>84</xdr:row>
      <xdr:rowOff>28574</xdr:rowOff>
    </xdr:to>
    <xdr:sp macro="" textlink="">
      <xdr:nvSpPr>
        <xdr:cNvPr id="350" name="Tile58">
          <a:extLst>
            <a:ext uri="{FF2B5EF4-FFF2-40B4-BE49-F238E27FC236}">
              <a16:creationId xmlns:a16="http://schemas.microsoft.com/office/drawing/2014/main" id="{B52CBC24-03A0-4C76-A19E-E2613ACB91F6}"/>
            </a:ext>
          </a:extLst>
        </xdr:cNvPr>
        <xdr:cNvSpPr/>
      </xdr:nvSpPr>
      <xdr:spPr>
        <a:xfrm>
          <a:off x="7239000" y="6762749"/>
          <a:ext cx="1097102" cy="1266825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noFill/>
          <a:prstDash val="solid"/>
          <a:round/>
        </a:ln>
        <a:effectLst>
          <a:outerShdw blurRad="63500" sx="102000" sy="102000" algn="ctr" rotWithShape="0">
            <a:prstClr val="black">
              <a:alpha val="61000"/>
            </a:prstClr>
          </a:outerShdw>
        </a:effectLst>
      </xdr:spPr>
      <xdr:txBody>
        <a:bodyPr rtlCol="0" anchor="ctr"/>
        <a:lstStyle/>
        <a:p>
          <a:pPr algn="ctr"/>
          <a:endParaRPr lang="ru-RU"/>
        </a:p>
      </xdr:txBody>
    </xdr:sp>
    <xdr:clientData/>
  </xdr:twoCellAnchor>
  <xdr:twoCellAnchor>
    <xdr:from>
      <xdr:col>76</xdr:col>
      <xdr:colOff>47625</xdr:colOff>
      <xdr:row>72</xdr:row>
      <xdr:rowOff>85725</xdr:rowOff>
    </xdr:from>
    <xdr:to>
      <xdr:col>79</xdr:col>
      <xdr:colOff>53249</xdr:colOff>
      <xdr:row>78</xdr:row>
      <xdr:rowOff>85726</xdr:rowOff>
    </xdr:to>
    <xdr:sp macro="" textlink="">
      <xdr:nvSpPr>
        <xdr:cNvPr id="351" name="Tile58">
          <a:extLst>
            <a:ext uri="{FF2B5EF4-FFF2-40B4-BE49-F238E27FC236}">
              <a16:creationId xmlns:a16="http://schemas.microsoft.com/office/drawing/2014/main" id="{D49083B1-AB43-4797-A679-B07E92A2A881}"/>
            </a:ext>
          </a:extLst>
        </xdr:cNvPr>
        <xdr:cNvSpPr/>
      </xdr:nvSpPr>
      <xdr:spPr>
        <a:xfrm>
          <a:off x="7286625" y="6943725"/>
          <a:ext cx="291374" cy="571501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  <a:gd name="connsiteX0" fmla="*/ 445055 w 445055"/>
            <a:gd name="connsiteY0" fmla="*/ 128477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0" fmla="*/ 445055 w 445055"/>
            <a:gd name="connsiteY0" fmla="*/ 128477 h 385430"/>
            <a:gd name="connsiteX1" fmla="*/ 0 w 445055"/>
            <a:gd name="connsiteY1" fmla="*/ 385430 h 385430"/>
            <a:gd name="connsiteX2" fmla="*/ 0 w 445055"/>
            <a:gd name="connsiteY2" fmla="*/ 128477 h 385430"/>
            <a:gd name="connsiteX3" fmla="*/ 222527 w 445055"/>
            <a:gd name="connsiteY3" fmla="*/ 0 h 385430"/>
            <a:gd name="connsiteX4" fmla="*/ 445055 w 445055"/>
            <a:gd name="connsiteY4" fmla="*/ 128477 h 385430"/>
            <a:gd name="connsiteX0" fmla="*/ 222527 w 222527"/>
            <a:gd name="connsiteY0" fmla="*/ 0 h 385430"/>
            <a:gd name="connsiteX1" fmla="*/ 0 w 222527"/>
            <a:gd name="connsiteY1" fmla="*/ 385430 h 385430"/>
            <a:gd name="connsiteX2" fmla="*/ 0 w 222527"/>
            <a:gd name="connsiteY2" fmla="*/ 128477 h 385430"/>
            <a:gd name="connsiteX3" fmla="*/ 222527 w 222527"/>
            <a:gd name="connsiteY3" fmla="*/ 0 h 385430"/>
            <a:gd name="connsiteX0" fmla="*/ 222527 w 222527"/>
            <a:gd name="connsiteY0" fmla="*/ 0 h 385430"/>
            <a:gd name="connsiteX1" fmla="*/ 115918 w 222527"/>
            <a:gd name="connsiteY1" fmla="*/ 181607 h 385430"/>
            <a:gd name="connsiteX2" fmla="*/ 0 w 222527"/>
            <a:gd name="connsiteY2" fmla="*/ 385430 h 385430"/>
            <a:gd name="connsiteX3" fmla="*/ 0 w 222527"/>
            <a:gd name="connsiteY3" fmla="*/ 128477 h 385430"/>
            <a:gd name="connsiteX4" fmla="*/ 222527 w 222527"/>
            <a:gd name="connsiteY4" fmla="*/ 0 h 385430"/>
            <a:gd name="connsiteX0" fmla="*/ 222527 w 222527"/>
            <a:gd name="connsiteY0" fmla="*/ 0 h 385430"/>
            <a:gd name="connsiteX1" fmla="*/ 57959 w 222527"/>
            <a:gd name="connsiteY1" fmla="*/ 154559 h 385430"/>
            <a:gd name="connsiteX2" fmla="*/ 0 w 222527"/>
            <a:gd name="connsiteY2" fmla="*/ 385430 h 385430"/>
            <a:gd name="connsiteX3" fmla="*/ 0 w 222527"/>
            <a:gd name="connsiteY3" fmla="*/ 128477 h 385430"/>
            <a:gd name="connsiteX4" fmla="*/ 222527 w 222527"/>
            <a:gd name="connsiteY4" fmla="*/ 0 h 385430"/>
            <a:gd name="connsiteX0" fmla="*/ 222527 w 222527"/>
            <a:gd name="connsiteY0" fmla="*/ 0 h 278206"/>
            <a:gd name="connsiteX1" fmla="*/ 57959 w 222527"/>
            <a:gd name="connsiteY1" fmla="*/ 154559 h 278206"/>
            <a:gd name="connsiteX2" fmla="*/ 7728 w 222527"/>
            <a:gd name="connsiteY2" fmla="*/ 278206 h 278206"/>
            <a:gd name="connsiteX3" fmla="*/ 0 w 222527"/>
            <a:gd name="connsiteY3" fmla="*/ 128477 h 278206"/>
            <a:gd name="connsiteX4" fmla="*/ 222527 w 222527"/>
            <a:gd name="connsiteY4" fmla="*/ 0 h 278206"/>
            <a:gd name="connsiteX0" fmla="*/ 118200 w 118200"/>
            <a:gd name="connsiteY0" fmla="*/ 0 h 231838"/>
            <a:gd name="connsiteX1" fmla="*/ 57959 w 118200"/>
            <a:gd name="connsiteY1" fmla="*/ 108191 h 231838"/>
            <a:gd name="connsiteX2" fmla="*/ 7728 w 118200"/>
            <a:gd name="connsiteY2" fmla="*/ 231838 h 231838"/>
            <a:gd name="connsiteX3" fmla="*/ 0 w 118200"/>
            <a:gd name="connsiteY3" fmla="*/ 82109 h 231838"/>
            <a:gd name="connsiteX4" fmla="*/ 118200 w 118200"/>
            <a:gd name="connsiteY4" fmla="*/ 0 h 231838"/>
            <a:gd name="connsiteX0" fmla="*/ 118200 w 118200"/>
            <a:gd name="connsiteY0" fmla="*/ 0 h 231838"/>
            <a:gd name="connsiteX1" fmla="*/ 30911 w 118200"/>
            <a:gd name="connsiteY1" fmla="*/ 92735 h 231838"/>
            <a:gd name="connsiteX2" fmla="*/ 7728 w 118200"/>
            <a:gd name="connsiteY2" fmla="*/ 231838 h 231838"/>
            <a:gd name="connsiteX3" fmla="*/ 0 w 118200"/>
            <a:gd name="connsiteY3" fmla="*/ 82109 h 231838"/>
            <a:gd name="connsiteX4" fmla="*/ 118200 w 118200"/>
            <a:gd name="connsiteY4" fmla="*/ 0 h 2318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18200" h="231838">
              <a:moveTo>
                <a:pt x="118200" y="0"/>
              </a:moveTo>
              <a:lnTo>
                <a:pt x="30911" y="92735"/>
              </a:lnTo>
              <a:lnTo>
                <a:pt x="7728" y="231838"/>
              </a:lnTo>
              <a:lnTo>
                <a:pt x="0" y="82109"/>
              </a:lnTo>
              <a:lnTo>
                <a:pt x="118200" y="0"/>
              </a:lnTo>
              <a:close/>
            </a:path>
          </a:pathLst>
        </a:custGeom>
        <a:solidFill>
          <a:srgbClr val="EEEEEE"/>
        </a:solidFill>
        <a:ln w="9525" cap="rnd">
          <a:noFill/>
          <a:prstDash val="solid"/>
          <a:round/>
        </a:ln>
        <a:effectLst/>
      </xdr:spPr>
      <xdr:txBody>
        <a:bodyPr rtlCol="0" anchor="ctr"/>
        <a:lstStyle/>
        <a:p>
          <a:pPr algn="ctr"/>
          <a:endParaRPr lang="ru-RU"/>
        </a:p>
      </xdr:txBody>
    </xdr:sp>
    <xdr:clientData/>
  </xdr:twoCellAnchor>
  <xdr:twoCellAnchor>
    <xdr:from>
      <xdr:col>83</xdr:col>
      <xdr:colOff>85725</xdr:colOff>
      <xdr:row>76</xdr:row>
      <xdr:rowOff>57150</xdr:rowOff>
    </xdr:from>
    <xdr:to>
      <xdr:col>86</xdr:col>
      <xdr:colOff>91349</xdr:colOff>
      <xdr:row>82</xdr:row>
      <xdr:rowOff>57151</xdr:rowOff>
    </xdr:to>
    <xdr:sp macro="" textlink="">
      <xdr:nvSpPr>
        <xdr:cNvPr id="352" name="Tile58">
          <a:extLst>
            <a:ext uri="{FF2B5EF4-FFF2-40B4-BE49-F238E27FC236}">
              <a16:creationId xmlns:a16="http://schemas.microsoft.com/office/drawing/2014/main" id="{6231E4DF-7642-4347-8F12-48B57EE48F6D}"/>
            </a:ext>
          </a:extLst>
        </xdr:cNvPr>
        <xdr:cNvSpPr/>
      </xdr:nvSpPr>
      <xdr:spPr>
        <a:xfrm rot="10800000">
          <a:off x="7991475" y="7296150"/>
          <a:ext cx="291374" cy="571501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  <a:gd name="connsiteX0" fmla="*/ 445055 w 445055"/>
            <a:gd name="connsiteY0" fmla="*/ 128477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0" fmla="*/ 445055 w 445055"/>
            <a:gd name="connsiteY0" fmla="*/ 128477 h 385430"/>
            <a:gd name="connsiteX1" fmla="*/ 0 w 445055"/>
            <a:gd name="connsiteY1" fmla="*/ 385430 h 385430"/>
            <a:gd name="connsiteX2" fmla="*/ 0 w 445055"/>
            <a:gd name="connsiteY2" fmla="*/ 128477 h 385430"/>
            <a:gd name="connsiteX3" fmla="*/ 222527 w 445055"/>
            <a:gd name="connsiteY3" fmla="*/ 0 h 385430"/>
            <a:gd name="connsiteX4" fmla="*/ 445055 w 445055"/>
            <a:gd name="connsiteY4" fmla="*/ 128477 h 385430"/>
            <a:gd name="connsiteX0" fmla="*/ 222527 w 222527"/>
            <a:gd name="connsiteY0" fmla="*/ 0 h 385430"/>
            <a:gd name="connsiteX1" fmla="*/ 0 w 222527"/>
            <a:gd name="connsiteY1" fmla="*/ 385430 h 385430"/>
            <a:gd name="connsiteX2" fmla="*/ 0 w 222527"/>
            <a:gd name="connsiteY2" fmla="*/ 128477 h 385430"/>
            <a:gd name="connsiteX3" fmla="*/ 222527 w 222527"/>
            <a:gd name="connsiteY3" fmla="*/ 0 h 385430"/>
            <a:gd name="connsiteX0" fmla="*/ 222527 w 222527"/>
            <a:gd name="connsiteY0" fmla="*/ 0 h 385430"/>
            <a:gd name="connsiteX1" fmla="*/ 115918 w 222527"/>
            <a:gd name="connsiteY1" fmla="*/ 181607 h 385430"/>
            <a:gd name="connsiteX2" fmla="*/ 0 w 222527"/>
            <a:gd name="connsiteY2" fmla="*/ 385430 h 385430"/>
            <a:gd name="connsiteX3" fmla="*/ 0 w 222527"/>
            <a:gd name="connsiteY3" fmla="*/ 128477 h 385430"/>
            <a:gd name="connsiteX4" fmla="*/ 222527 w 222527"/>
            <a:gd name="connsiteY4" fmla="*/ 0 h 385430"/>
            <a:gd name="connsiteX0" fmla="*/ 222527 w 222527"/>
            <a:gd name="connsiteY0" fmla="*/ 0 h 385430"/>
            <a:gd name="connsiteX1" fmla="*/ 57959 w 222527"/>
            <a:gd name="connsiteY1" fmla="*/ 154559 h 385430"/>
            <a:gd name="connsiteX2" fmla="*/ 0 w 222527"/>
            <a:gd name="connsiteY2" fmla="*/ 385430 h 385430"/>
            <a:gd name="connsiteX3" fmla="*/ 0 w 222527"/>
            <a:gd name="connsiteY3" fmla="*/ 128477 h 385430"/>
            <a:gd name="connsiteX4" fmla="*/ 222527 w 222527"/>
            <a:gd name="connsiteY4" fmla="*/ 0 h 385430"/>
            <a:gd name="connsiteX0" fmla="*/ 222527 w 222527"/>
            <a:gd name="connsiteY0" fmla="*/ 0 h 278206"/>
            <a:gd name="connsiteX1" fmla="*/ 57959 w 222527"/>
            <a:gd name="connsiteY1" fmla="*/ 154559 h 278206"/>
            <a:gd name="connsiteX2" fmla="*/ 7728 w 222527"/>
            <a:gd name="connsiteY2" fmla="*/ 278206 h 278206"/>
            <a:gd name="connsiteX3" fmla="*/ 0 w 222527"/>
            <a:gd name="connsiteY3" fmla="*/ 128477 h 278206"/>
            <a:gd name="connsiteX4" fmla="*/ 222527 w 222527"/>
            <a:gd name="connsiteY4" fmla="*/ 0 h 278206"/>
            <a:gd name="connsiteX0" fmla="*/ 118200 w 118200"/>
            <a:gd name="connsiteY0" fmla="*/ 0 h 231838"/>
            <a:gd name="connsiteX1" fmla="*/ 57959 w 118200"/>
            <a:gd name="connsiteY1" fmla="*/ 108191 h 231838"/>
            <a:gd name="connsiteX2" fmla="*/ 7728 w 118200"/>
            <a:gd name="connsiteY2" fmla="*/ 231838 h 231838"/>
            <a:gd name="connsiteX3" fmla="*/ 0 w 118200"/>
            <a:gd name="connsiteY3" fmla="*/ 82109 h 231838"/>
            <a:gd name="connsiteX4" fmla="*/ 118200 w 118200"/>
            <a:gd name="connsiteY4" fmla="*/ 0 h 231838"/>
            <a:gd name="connsiteX0" fmla="*/ 118200 w 118200"/>
            <a:gd name="connsiteY0" fmla="*/ 0 h 231838"/>
            <a:gd name="connsiteX1" fmla="*/ 34775 w 118200"/>
            <a:gd name="connsiteY1" fmla="*/ 96599 h 231838"/>
            <a:gd name="connsiteX2" fmla="*/ 7728 w 118200"/>
            <a:gd name="connsiteY2" fmla="*/ 231838 h 231838"/>
            <a:gd name="connsiteX3" fmla="*/ 0 w 118200"/>
            <a:gd name="connsiteY3" fmla="*/ 82109 h 231838"/>
            <a:gd name="connsiteX4" fmla="*/ 118200 w 118200"/>
            <a:gd name="connsiteY4" fmla="*/ 0 h 2318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18200" h="231838">
              <a:moveTo>
                <a:pt x="118200" y="0"/>
              </a:moveTo>
              <a:lnTo>
                <a:pt x="34775" y="96599"/>
              </a:lnTo>
              <a:lnTo>
                <a:pt x="7728" y="231838"/>
              </a:lnTo>
              <a:lnTo>
                <a:pt x="0" y="82109"/>
              </a:lnTo>
              <a:lnTo>
                <a:pt x="118200" y="0"/>
              </a:lnTo>
              <a:close/>
            </a:path>
          </a:pathLst>
        </a:custGeom>
        <a:solidFill>
          <a:srgbClr val="B6B6B6"/>
        </a:solidFill>
        <a:ln w="9525" cap="rnd">
          <a:noFill/>
          <a:prstDash val="solid"/>
          <a:round/>
        </a:ln>
        <a:effectLst/>
      </xdr:spPr>
      <xdr:txBody>
        <a:bodyPr rtlCol="0" anchor="ctr"/>
        <a:lstStyle/>
        <a:p>
          <a:pPr algn="ctr"/>
          <a:endParaRPr lang="ru-RU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6979</xdr:colOff>
      <xdr:row>9</xdr:row>
      <xdr:rowOff>76200</xdr:rowOff>
    </xdr:from>
    <xdr:to>
      <xdr:col>34</xdr:col>
      <xdr:colOff>71419</xdr:colOff>
      <xdr:row>15</xdr:row>
      <xdr:rowOff>19050</xdr:rowOff>
    </xdr:to>
    <xdr:sp macro="" textlink="">
      <xdr:nvSpPr>
        <xdr:cNvPr id="2" name="Tile0">
          <a:extLst>
            <a:ext uri="{FF2B5EF4-FFF2-40B4-BE49-F238E27FC236}">
              <a16:creationId xmlns:a16="http://schemas.microsoft.com/office/drawing/2014/main" id="{7DC8FE6D-1E38-49BA-93D0-8FEBE91891C8}"/>
            </a:ext>
          </a:extLst>
        </xdr:cNvPr>
        <xdr:cNvSpPr/>
      </xdr:nvSpPr>
      <xdr:spPr>
        <a:xfrm>
          <a:off x="2864479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rgbClr val="FFFF00"/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0</a:t>
          </a:r>
        </a:p>
      </xdr:txBody>
    </xdr:sp>
    <xdr:clientData/>
  </xdr:twoCellAnchor>
  <xdr:twoCellAnchor>
    <xdr:from>
      <xdr:col>35</xdr:col>
      <xdr:colOff>25663</xdr:colOff>
      <xdr:row>9</xdr:row>
      <xdr:rowOff>76200</xdr:rowOff>
    </xdr:from>
    <xdr:to>
      <xdr:col>39</xdr:col>
      <xdr:colOff>90103</xdr:colOff>
      <xdr:row>15</xdr:row>
      <xdr:rowOff>19050</xdr:rowOff>
    </xdr:to>
    <xdr:sp macro="" textlink="">
      <xdr:nvSpPr>
        <xdr:cNvPr id="3" name="Tile1">
          <a:extLst>
            <a:ext uri="{FF2B5EF4-FFF2-40B4-BE49-F238E27FC236}">
              <a16:creationId xmlns:a16="http://schemas.microsoft.com/office/drawing/2014/main" id="{C3930082-2E56-4331-82BE-1CB1B8F3E1E7}"/>
            </a:ext>
          </a:extLst>
        </xdr:cNvPr>
        <xdr:cNvSpPr/>
      </xdr:nvSpPr>
      <xdr:spPr>
        <a:xfrm>
          <a:off x="3359413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</a:t>
          </a:r>
        </a:p>
      </xdr:txBody>
    </xdr:sp>
    <xdr:clientData/>
  </xdr:twoCellAnchor>
  <xdr:twoCellAnchor>
    <xdr:from>
      <xdr:col>40</xdr:col>
      <xdr:colOff>44347</xdr:colOff>
      <xdr:row>9</xdr:row>
      <xdr:rowOff>76200</xdr:rowOff>
    </xdr:from>
    <xdr:to>
      <xdr:col>45</xdr:col>
      <xdr:colOff>13537</xdr:colOff>
      <xdr:row>15</xdr:row>
      <xdr:rowOff>19050</xdr:rowOff>
    </xdr:to>
    <xdr:sp macro="" textlink="">
      <xdr:nvSpPr>
        <xdr:cNvPr id="4" name="Tile2">
          <a:extLst>
            <a:ext uri="{FF2B5EF4-FFF2-40B4-BE49-F238E27FC236}">
              <a16:creationId xmlns:a16="http://schemas.microsoft.com/office/drawing/2014/main" id="{E9AA8C27-D260-4C8E-90C1-4B4B3843B673}"/>
            </a:ext>
          </a:extLst>
        </xdr:cNvPr>
        <xdr:cNvSpPr/>
      </xdr:nvSpPr>
      <xdr:spPr>
        <a:xfrm>
          <a:off x="3854347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</a:t>
          </a:r>
        </a:p>
      </xdr:txBody>
    </xdr:sp>
    <xdr:clientData/>
  </xdr:twoCellAnchor>
  <xdr:twoCellAnchor>
    <xdr:from>
      <xdr:col>45</xdr:col>
      <xdr:colOff>63030</xdr:colOff>
      <xdr:row>9</xdr:row>
      <xdr:rowOff>76200</xdr:rowOff>
    </xdr:from>
    <xdr:to>
      <xdr:col>50</xdr:col>
      <xdr:colOff>32220</xdr:colOff>
      <xdr:row>15</xdr:row>
      <xdr:rowOff>19050</xdr:rowOff>
    </xdr:to>
    <xdr:sp macro="" textlink="">
      <xdr:nvSpPr>
        <xdr:cNvPr id="5" name="Tile3">
          <a:extLst>
            <a:ext uri="{FF2B5EF4-FFF2-40B4-BE49-F238E27FC236}">
              <a16:creationId xmlns:a16="http://schemas.microsoft.com/office/drawing/2014/main" id="{B24E784F-A354-4E07-877E-7056D11EBC26}"/>
            </a:ext>
          </a:extLst>
        </xdr:cNvPr>
        <xdr:cNvSpPr/>
      </xdr:nvSpPr>
      <xdr:spPr>
        <a:xfrm>
          <a:off x="4349280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</a:t>
          </a:r>
        </a:p>
      </xdr:txBody>
    </xdr:sp>
    <xdr:clientData/>
  </xdr:twoCellAnchor>
  <xdr:twoCellAnchor>
    <xdr:from>
      <xdr:col>50</xdr:col>
      <xdr:colOff>81714</xdr:colOff>
      <xdr:row>9</xdr:row>
      <xdr:rowOff>76200</xdr:rowOff>
    </xdr:from>
    <xdr:to>
      <xdr:col>55</xdr:col>
      <xdr:colOff>50904</xdr:colOff>
      <xdr:row>15</xdr:row>
      <xdr:rowOff>19050</xdr:rowOff>
    </xdr:to>
    <xdr:sp macro="" textlink="">
      <xdr:nvSpPr>
        <xdr:cNvPr id="6" name="Tile4">
          <a:extLst>
            <a:ext uri="{FF2B5EF4-FFF2-40B4-BE49-F238E27FC236}">
              <a16:creationId xmlns:a16="http://schemas.microsoft.com/office/drawing/2014/main" id="{B46B2355-8F0D-419C-90FF-A22D63532630}"/>
            </a:ext>
          </a:extLst>
        </xdr:cNvPr>
        <xdr:cNvSpPr/>
      </xdr:nvSpPr>
      <xdr:spPr>
        <a:xfrm>
          <a:off x="4844214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</a:t>
          </a:r>
        </a:p>
      </xdr:txBody>
    </xdr:sp>
    <xdr:clientData/>
  </xdr:twoCellAnchor>
  <xdr:twoCellAnchor>
    <xdr:from>
      <xdr:col>56</xdr:col>
      <xdr:colOff>5147</xdr:colOff>
      <xdr:row>9</xdr:row>
      <xdr:rowOff>76200</xdr:rowOff>
    </xdr:from>
    <xdr:to>
      <xdr:col>60</xdr:col>
      <xdr:colOff>69587</xdr:colOff>
      <xdr:row>15</xdr:row>
      <xdr:rowOff>19050</xdr:rowOff>
    </xdr:to>
    <xdr:sp macro="" textlink="">
      <xdr:nvSpPr>
        <xdr:cNvPr id="7" name="Tile5">
          <a:extLst>
            <a:ext uri="{FF2B5EF4-FFF2-40B4-BE49-F238E27FC236}">
              <a16:creationId xmlns:a16="http://schemas.microsoft.com/office/drawing/2014/main" id="{083F3124-98BE-415C-82E4-7CEFBCF65133}"/>
            </a:ext>
          </a:extLst>
        </xdr:cNvPr>
        <xdr:cNvSpPr/>
      </xdr:nvSpPr>
      <xdr:spPr>
        <a:xfrm>
          <a:off x="5339147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</a:t>
          </a:r>
        </a:p>
      </xdr:txBody>
    </xdr:sp>
    <xdr:clientData/>
  </xdr:twoCellAnchor>
  <xdr:twoCellAnchor>
    <xdr:from>
      <xdr:col>61</xdr:col>
      <xdr:colOff>23831</xdr:colOff>
      <xdr:row>9</xdr:row>
      <xdr:rowOff>76200</xdr:rowOff>
    </xdr:from>
    <xdr:to>
      <xdr:col>65</xdr:col>
      <xdr:colOff>88271</xdr:colOff>
      <xdr:row>15</xdr:row>
      <xdr:rowOff>19050</xdr:rowOff>
    </xdr:to>
    <xdr:sp macro="" textlink="">
      <xdr:nvSpPr>
        <xdr:cNvPr id="8" name="Tile6">
          <a:extLst>
            <a:ext uri="{FF2B5EF4-FFF2-40B4-BE49-F238E27FC236}">
              <a16:creationId xmlns:a16="http://schemas.microsoft.com/office/drawing/2014/main" id="{07E09E5B-9253-49E0-B80A-3892D5BA2E94}"/>
            </a:ext>
          </a:extLst>
        </xdr:cNvPr>
        <xdr:cNvSpPr/>
      </xdr:nvSpPr>
      <xdr:spPr>
        <a:xfrm>
          <a:off x="5834081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</a:t>
          </a:r>
        </a:p>
      </xdr:txBody>
    </xdr:sp>
    <xdr:clientData/>
  </xdr:twoCellAnchor>
  <xdr:twoCellAnchor>
    <xdr:from>
      <xdr:col>27</xdr:col>
      <xdr:colOff>45263</xdr:colOff>
      <xdr:row>14</xdr:row>
      <xdr:rowOff>28575</xdr:rowOff>
    </xdr:from>
    <xdr:to>
      <xdr:col>32</xdr:col>
      <xdr:colOff>14453</xdr:colOff>
      <xdr:row>19</xdr:row>
      <xdr:rowOff>66675</xdr:rowOff>
    </xdr:to>
    <xdr:sp macro="" textlink="">
      <xdr:nvSpPr>
        <xdr:cNvPr id="9" name="Tile7">
          <a:extLst>
            <a:ext uri="{FF2B5EF4-FFF2-40B4-BE49-F238E27FC236}">
              <a16:creationId xmlns:a16="http://schemas.microsoft.com/office/drawing/2014/main" id="{BCCBECD6-9FA9-4AC5-8825-B7EEBB0AACB9}"/>
            </a:ext>
          </a:extLst>
        </xdr:cNvPr>
        <xdr:cNvSpPr/>
      </xdr:nvSpPr>
      <xdr:spPr>
        <a:xfrm>
          <a:off x="2617013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</a:t>
          </a:r>
        </a:p>
      </xdr:txBody>
    </xdr:sp>
    <xdr:clientData/>
  </xdr:twoCellAnchor>
  <xdr:twoCellAnchor>
    <xdr:from>
      <xdr:col>32</xdr:col>
      <xdr:colOff>63946</xdr:colOff>
      <xdr:row>14</xdr:row>
      <xdr:rowOff>28575</xdr:rowOff>
    </xdr:from>
    <xdr:to>
      <xdr:col>37</xdr:col>
      <xdr:colOff>33136</xdr:colOff>
      <xdr:row>19</xdr:row>
      <xdr:rowOff>66675</xdr:rowOff>
    </xdr:to>
    <xdr:sp macro="" textlink="">
      <xdr:nvSpPr>
        <xdr:cNvPr id="10" name="Tile8">
          <a:extLst>
            <a:ext uri="{FF2B5EF4-FFF2-40B4-BE49-F238E27FC236}">
              <a16:creationId xmlns:a16="http://schemas.microsoft.com/office/drawing/2014/main" id="{1C21BDEA-1991-4FB3-A7F3-848CB3443314}"/>
            </a:ext>
          </a:extLst>
        </xdr:cNvPr>
        <xdr:cNvSpPr/>
      </xdr:nvSpPr>
      <xdr:spPr>
        <a:xfrm>
          <a:off x="3111946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8</a:t>
          </a:r>
        </a:p>
      </xdr:txBody>
    </xdr:sp>
    <xdr:clientData/>
  </xdr:twoCellAnchor>
  <xdr:twoCellAnchor>
    <xdr:from>
      <xdr:col>37</xdr:col>
      <xdr:colOff>82630</xdr:colOff>
      <xdr:row>14</xdr:row>
      <xdr:rowOff>28575</xdr:rowOff>
    </xdr:from>
    <xdr:to>
      <xdr:col>42</xdr:col>
      <xdr:colOff>51820</xdr:colOff>
      <xdr:row>19</xdr:row>
      <xdr:rowOff>66675</xdr:rowOff>
    </xdr:to>
    <xdr:sp macro="" textlink="">
      <xdr:nvSpPr>
        <xdr:cNvPr id="11" name="Tile9">
          <a:extLst>
            <a:ext uri="{FF2B5EF4-FFF2-40B4-BE49-F238E27FC236}">
              <a16:creationId xmlns:a16="http://schemas.microsoft.com/office/drawing/2014/main" id="{821FA797-3C07-45AA-930B-1C2336F80270}"/>
            </a:ext>
          </a:extLst>
        </xdr:cNvPr>
        <xdr:cNvSpPr/>
      </xdr:nvSpPr>
      <xdr:spPr>
        <a:xfrm>
          <a:off x="3606880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9</a:t>
          </a:r>
        </a:p>
      </xdr:txBody>
    </xdr:sp>
    <xdr:clientData/>
  </xdr:twoCellAnchor>
  <xdr:twoCellAnchor>
    <xdr:from>
      <xdr:col>43</xdr:col>
      <xdr:colOff>6063</xdr:colOff>
      <xdr:row>14</xdr:row>
      <xdr:rowOff>28575</xdr:rowOff>
    </xdr:from>
    <xdr:to>
      <xdr:col>47</xdr:col>
      <xdr:colOff>70503</xdr:colOff>
      <xdr:row>19</xdr:row>
      <xdr:rowOff>66675</xdr:rowOff>
    </xdr:to>
    <xdr:sp macro="" textlink="">
      <xdr:nvSpPr>
        <xdr:cNvPr id="12" name="Tile10">
          <a:extLst>
            <a:ext uri="{FF2B5EF4-FFF2-40B4-BE49-F238E27FC236}">
              <a16:creationId xmlns:a16="http://schemas.microsoft.com/office/drawing/2014/main" id="{5490542F-9901-4269-AA3F-77756CE2354C}"/>
            </a:ext>
          </a:extLst>
        </xdr:cNvPr>
        <xdr:cNvSpPr/>
      </xdr:nvSpPr>
      <xdr:spPr>
        <a:xfrm>
          <a:off x="4101813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10</a:t>
          </a:r>
        </a:p>
      </xdr:txBody>
    </xdr:sp>
    <xdr:clientData/>
  </xdr:twoCellAnchor>
  <xdr:twoCellAnchor>
    <xdr:from>
      <xdr:col>48</xdr:col>
      <xdr:colOff>24747</xdr:colOff>
      <xdr:row>14</xdr:row>
      <xdr:rowOff>28575</xdr:rowOff>
    </xdr:from>
    <xdr:to>
      <xdr:col>52</xdr:col>
      <xdr:colOff>89187</xdr:colOff>
      <xdr:row>19</xdr:row>
      <xdr:rowOff>66675</xdr:rowOff>
    </xdr:to>
    <xdr:sp macro="" textlink="">
      <xdr:nvSpPr>
        <xdr:cNvPr id="13" name="Tile11">
          <a:extLst>
            <a:ext uri="{FF2B5EF4-FFF2-40B4-BE49-F238E27FC236}">
              <a16:creationId xmlns:a16="http://schemas.microsoft.com/office/drawing/2014/main" id="{B1C53EB8-85B4-4AB0-B02A-4AB14BDC6538}"/>
            </a:ext>
          </a:extLst>
        </xdr:cNvPr>
        <xdr:cNvSpPr/>
      </xdr:nvSpPr>
      <xdr:spPr>
        <a:xfrm>
          <a:off x="4596747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11</a:t>
          </a:r>
        </a:p>
      </xdr:txBody>
    </xdr:sp>
    <xdr:clientData/>
  </xdr:twoCellAnchor>
  <xdr:twoCellAnchor>
    <xdr:from>
      <xdr:col>53</xdr:col>
      <xdr:colOff>43430</xdr:colOff>
      <xdr:row>14</xdr:row>
      <xdr:rowOff>28575</xdr:rowOff>
    </xdr:from>
    <xdr:to>
      <xdr:col>58</xdr:col>
      <xdr:colOff>12620</xdr:colOff>
      <xdr:row>19</xdr:row>
      <xdr:rowOff>66675</xdr:rowOff>
    </xdr:to>
    <xdr:sp macro="" textlink="">
      <xdr:nvSpPr>
        <xdr:cNvPr id="14" name="Tile12">
          <a:extLst>
            <a:ext uri="{FF2B5EF4-FFF2-40B4-BE49-F238E27FC236}">
              <a16:creationId xmlns:a16="http://schemas.microsoft.com/office/drawing/2014/main" id="{35268C98-E298-488C-BA4B-99E92FE7A914}"/>
            </a:ext>
          </a:extLst>
        </xdr:cNvPr>
        <xdr:cNvSpPr/>
      </xdr:nvSpPr>
      <xdr:spPr>
        <a:xfrm>
          <a:off x="5091680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12</a:t>
          </a:r>
        </a:p>
      </xdr:txBody>
    </xdr:sp>
    <xdr:clientData/>
  </xdr:twoCellAnchor>
  <xdr:twoCellAnchor>
    <xdr:from>
      <xdr:col>58</xdr:col>
      <xdr:colOff>62114</xdr:colOff>
      <xdr:row>14</xdr:row>
      <xdr:rowOff>28575</xdr:rowOff>
    </xdr:from>
    <xdr:to>
      <xdr:col>63</xdr:col>
      <xdr:colOff>31304</xdr:colOff>
      <xdr:row>19</xdr:row>
      <xdr:rowOff>66675</xdr:rowOff>
    </xdr:to>
    <xdr:sp macro="" textlink="">
      <xdr:nvSpPr>
        <xdr:cNvPr id="15" name="Tile13">
          <a:extLst>
            <a:ext uri="{FF2B5EF4-FFF2-40B4-BE49-F238E27FC236}">
              <a16:creationId xmlns:a16="http://schemas.microsoft.com/office/drawing/2014/main" id="{4D1D95AE-A4B5-4768-AFE3-7F17044AEDFB}"/>
            </a:ext>
          </a:extLst>
        </xdr:cNvPr>
        <xdr:cNvSpPr/>
      </xdr:nvSpPr>
      <xdr:spPr>
        <a:xfrm>
          <a:off x="5586614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13</a:t>
          </a:r>
        </a:p>
      </xdr:txBody>
    </xdr:sp>
    <xdr:clientData/>
  </xdr:twoCellAnchor>
  <xdr:twoCellAnchor>
    <xdr:from>
      <xdr:col>63</xdr:col>
      <xdr:colOff>80797</xdr:colOff>
      <xdr:row>14</xdr:row>
      <xdr:rowOff>28575</xdr:rowOff>
    </xdr:from>
    <xdr:to>
      <xdr:col>68</xdr:col>
      <xdr:colOff>49987</xdr:colOff>
      <xdr:row>19</xdr:row>
      <xdr:rowOff>66675</xdr:rowOff>
    </xdr:to>
    <xdr:sp macro="" textlink="">
      <xdr:nvSpPr>
        <xdr:cNvPr id="16" name="Tile14">
          <a:extLst>
            <a:ext uri="{FF2B5EF4-FFF2-40B4-BE49-F238E27FC236}">
              <a16:creationId xmlns:a16="http://schemas.microsoft.com/office/drawing/2014/main" id="{09C5B3B1-5C20-4D2C-B368-DEE6FBEDB40B}"/>
            </a:ext>
          </a:extLst>
        </xdr:cNvPr>
        <xdr:cNvSpPr/>
      </xdr:nvSpPr>
      <xdr:spPr>
        <a:xfrm>
          <a:off x="6081547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14</a:t>
          </a:r>
        </a:p>
      </xdr:txBody>
    </xdr:sp>
    <xdr:clientData/>
  </xdr:twoCellAnchor>
  <xdr:twoCellAnchor>
    <xdr:from>
      <xdr:col>24</xdr:col>
      <xdr:colOff>83546</xdr:colOff>
      <xdr:row>18</xdr:row>
      <xdr:rowOff>76200</xdr:rowOff>
    </xdr:from>
    <xdr:to>
      <xdr:col>29</xdr:col>
      <xdr:colOff>52736</xdr:colOff>
      <xdr:row>24</xdr:row>
      <xdr:rowOff>19050</xdr:rowOff>
    </xdr:to>
    <xdr:sp macro="" textlink="">
      <xdr:nvSpPr>
        <xdr:cNvPr id="17" name="Tile15">
          <a:extLst>
            <a:ext uri="{FF2B5EF4-FFF2-40B4-BE49-F238E27FC236}">
              <a16:creationId xmlns:a16="http://schemas.microsoft.com/office/drawing/2014/main" id="{48AD9477-B659-480E-937C-51E170374F4A}"/>
            </a:ext>
          </a:extLst>
        </xdr:cNvPr>
        <xdr:cNvSpPr/>
      </xdr:nvSpPr>
      <xdr:spPr>
        <a:xfrm>
          <a:off x="2369546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15</a:t>
          </a:r>
        </a:p>
      </xdr:txBody>
    </xdr:sp>
    <xdr:clientData/>
  </xdr:twoCellAnchor>
  <xdr:twoCellAnchor>
    <xdr:from>
      <xdr:col>30</xdr:col>
      <xdr:colOff>6979</xdr:colOff>
      <xdr:row>18</xdr:row>
      <xdr:rowOff>76200</xdr:rowOff>
    </xdr:from>
    <xdr:to>
      <xdr:col>34</xdr:col>
      <xdr:colOff>71419</xdr:colOff>
      <xdr:row>24</xdr:row>
      <xdr:rowOff>19050</xdr:rowOff>
    </xdr:to>
    <xdr:sp macro="" textlink="">
      <xdr:nvSpPr>
        <xdr:cNvPr id="18" name="Tile16">
          <a:extLst>
            <a:ext uri="{FF2B5EF4-FFF2-40B4-BE49-F238E27FC236}">
              <a16:creationId xmlns:a16="http://schemas.microsoft.com/office/drawing/2014/main" id="{7A868218-4C70-4D5B-BBC8-C3FDB78012F2}"/>
            </a:ext>
          </a:extLst>
        </xdr:cNvPr>
        <xdr:cNvSpPr/>
      </xdr:nvSpPr>
      <xdr:spPr>
        <a:xfrm>
          <a:off x="2864479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16</a:t>
          </a:r>
        </a:p>
      </xdr:txBody>
    </xdr:sp>
    <xdr:clientData/>
  </xdr:twoCellAnchor>
  <xdr:twoCellAnchor>
    <xdr:from>
      <xdr:col>35</xdr:col>
      <xdr:colOff>25663</xdr:colOff>
      <xdr:row>18</xdr:row>
      <xdr:rowOff>76200</xdr:rowOff>
    </xdr:from>
    <xdr:to>
      <xdr:col>39</xdr:col>
      <xdr:colOff>90103</xdr:colOff>
      <xdr:row>24</xdr:row>
      <xdr:rowOff>19050</xdr:rowOff>
    </xdr:to>
    <xdr:sp macro="" textlink="">
      <xdr:nvSpPr>
        <xdr:cNvPr id="19" name="Tile17">
          <a:extLst>
            <a:ext uri="{FF2B5EF4-FFF2-40B4-BE49-F238E27FC236}">
              <a16:creationId xmlns:a16="http://schemas.microsoft.com/office/drawing/2014/main" id="{CC8054D1-E5EF-4747-AA03-D730D598FFCE}"/>
            </a:ext>
          </a:extLst>
        </xdr:cNvPr>
        <xdr:cNvSpPr/>
      </xdr:nvSpPr>
      <xdr:spPr>
        <a:xfrm>
          <a:off x="3359413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17</a:t>
          </a:r>
        </a:p>
      </xdr:txBody>
    </xdr:sp>
    <xdr:clientData/>
  </xdr:twoCellAnchor>
  <xdr:twoCellAnchor>
    <xdr:from>
      <xdr:col>40</xdr:col>
      <xdr:colOff>44347</xdr:colOff>
      <xdr:row>18</xdr:row>
      <xdr:rowOff>76200</xdr:rowOff>
    </xdr:from>
    <xdr:to>
      <xdr:col>45</xdr:col>
      <xdr:colOff>13537</xdr:colOff>
      <xdr:row>24</xdr:row>
      <xdr:rowOff>19050</xdr:rowOff>
    </xdr:to>
    <xdr:sp macro="" textlink="">
      <xdr:nvSpPr>
        <xdr:cNvPr id="20" name="Tile18">
          <a:extLst>
            <a:ext uri="{FF2B5EF4-FFF2-40B4-BE49-F238E27FC236}">
              <a16:creationId xmlns:a16="http://schemas.microsoft.com/office/drawing/2014/main" id="{059AF7CA-4C92-4BA8-8FDC-C4CDAEB1EADD}"/>
            </a:ext>
          </a:extLst>
        </xdr:cNvPr>
        <xdr:cNvSpPr/>
      </xdr:nvSpPr>
      <xdr:spPr>
        <a:xfrm>
          <a:off x="3854347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rgbClr val="FF0000"/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18</a:t>
          </a:r>
        </a:p>
      </xdr:txBody>
    </xdr:sp>
    <xdr:clientData/>
  </xdr:twoCellAnchor>
  <xdr:twoCellAnchor>
    <xdr:from>
      <xdr:col>45</xdr:col>
      <xdr:colOff>63030</xdr:colOff>
      <xdr:row>18</xdr:row>
      <xdr:rowOff>76200</xdr:rowOff>
    </xdr:from>
    <xdr:to>
      <xdr:col>50</xdr:col>
      <xdr:colOff>32220</xdr:colOff>
      <xdr:row>24</xdr:row>
      <xdr:rowOff>19050</xdr:rowOff>
    </xdr:to>
    <xdr:sp macro="" textlink="">
      <xdr:nvSpPr>
        <xdr:cNvPr id="21" name="Tile19">
          <a:extLst>
            <a:ext uri="{FF2B5EF4-FFF2-40B4-BE49-F238E27FC236}">
              <a16:creationId xmlns:a16="http://schemas.microsoft.com/office/drawing/2014/main" id="{AE0C687F-23CF-4FDC-8C2E-7ECA68E0D610}"/>
            </a:ext>
          </a:extLst>
        </xdr:cNvPr>
        <xdr:cNvSpPr/>
      </xdr:nvSpPr>
      <xdr:spPr>
        <a:xfrm>
          <a:off x="4349280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19</a:t>
          </a:r>
        </a:p>
      </xdr:txBody>
    </xdr:sp>
    <xdr:clientData/>
  </xdr:twoCellAnchor>
  <xdr:twoCellAnchor>
    <xdr:from>
      <xdr:col>50</xdr:col>
      <xdr:colOff>81714</xdr:colOff>
      <xdr:row>18</xdr:row>
      <xdr:rowOff>76200</xdr:rowOff>
    </xdr:from>
    <xdr:to>
      <xdr:col>55</xdr:col>
      <xdr:colOff>50904</xdr:colOff>
      <xdr:row>24</xdr:row>
      <xdr:rowOff>19050</xdr:rowOff>
    </xdr:to>
    <xdr:sp macro="" textlink="">
      <xdr:nvSpPr>
        <xdr:cNvPr id="22" name="Tile20">
          <a:extLst>
            <a:ext uri="{FF2B5EF4-FFF2-40B4-BE49-F238E27FC236}">
              <a16:creationId xmlns:a16="http://schemas.microsoft.com/office/drawing/2014/main" id="{2C12731E-F08E-417A-BECB-8D33D2FBF720}"/>
            </a:ext>
          </a:extLst>
        </xdr:cNvPr>
        <xdr:cNvSpPr/>
      </xdr:nvSpPr>
      <xdr:spPr>
        <a:xfrm>
          <a:off x="4844214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20</a:t>
          </a:r>
        </a:p>
      </xdr:txBody>
    </xdr:sp>
    <xdr:clientData/>
  </xdr:twoCellAnchor>
  <xdr:twoCellAnchor>
    <xdr:from>
      <xdr:col>56</xdr:col>
      <xdr:colOff>5147</xdr:colOff>
      <xdr:row>18</xdr:row>
      <xdr:rowOff>76200</xdr:rowOff>
    </xdr:from>
    <xdr:to>
      <xdr:col>60</xdr:col>
      <xdr:colOff>69587</xdr:colOff>
      <xdr:row>24</xdr:row>
      <xdr:rowOff>19050</xdr:rowOff>
    </xdr:to>
    <xdr:sp macro="" textlink="">
      <xdr:nvSpPr>
        <xdr:cNvPr id="23" name="Tile21">
          <a:extLst>
            <a:ext uri="{FF2B5EF4-FFF2-40B4-BE49-F238E27FC236}">
              <a16:creationId xmlns:a16="http://schemas.microsoft.com/office/drawing/2014/main" id="{A601F431-F79C-4693-88BE-6B6523A87C07}"/>
            </a:ext>
          </a:extLst>
        </xdr:cNvPr>
        <xdr:cNvSpPr/>
      </xdr:nvSpPr>
      <xdr:spPr>
        <a:xfrm>
          <a:off x="5339147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21</a:t>
          </a:r>
        </a:p>
      </xdr:txBody>
    </xdr:sp>
    <xdr:clientData/>
  </xdr:twoCellAnchor>
  <xdr:twoCellAnchor>
    <xdr:from>
      <xdr:col>61</xdr:col>
      <xdr:colOff>23831</xdr:colOff>
      <xdr:row>18</xdr:row>
      <xdr:rowOff>76200</xdr:rowOff>
    </xdr:from>
    <xdr:to>
      <xdr:col>65</xdr:col>
      <xdr:colOff>88271</xdr:colOff>
      <xdr:row>24</xdr:row>
      <xdr:rowOff>19050</xdr:rowOff>
    </xdr:to>
    <xdr:sp macro="" textlink="">
      <xdr:nvSpPr>
        <xdr:cNvPr id="24" name="Tile22">
          <a:extLst>
            <a:ext uri="{FF2B5EF4-FFF2-40B4-BE49-F238E27FC236}">
              <a16:creationId xmlns:a16="http://schemas.microsoft.com/office/drawing/2014/main" id="{1D757F8D-351D-42A7-91FC-E2FFB125F7E7}"/>
            </a:ext>
          </a:extLst>
        </xdr:cNvPr>
        <xdr:cNvSpPr/>
      </xdr:nvSpPr>
      <xdr:spPr>
        <a:xfrm>
          <a:off x="5834081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22</a:t>
          </a:r>
        </a:p>
      </xdr:txBody>
    </xdr:sp>
    <xdr:clientData/>
  </xdr:twoCellAnchor>
  <xdr:twoCellAnchor>
    <xdr:from>
      <xdr:col>66</xdr:col>
      <xdr:colOff>42514</xdr:colOff>
      <xdr:row>18</xdr:row>
      <xdr:rowOff>76200</xdr:rowOff>
    </xdr:from>
    <xdr:to>
      <xdr:col>71</xdr:col>
      <xdr:colOff>11704</xdr:colOff>
      <xdr:row>24</xdr:row>
      <xdr:rowOff>19050</xdr:rowOff>
    </xdr:to>
    <xdr:sp macro="" textlink="">
      <xdr:nvSpPr>
        <xdr:cNvPr id="25" name="Tile23">
          <a:extLst>
            <a:ext uri="{FF2B5EF4-FFF2-40B4-BE49-F238E27FC236}">
              <a16:creationId xmlns:a16="http://schemas.microsoft.com/office/drawing/2014/main" id="{3B86B077-DB8F-497C-9BD5-2D945DEAB7A7}"/>
            </a:ext>
          </a:extLst>
        </xdr:cNvPr>
        <xdr:cNvSpPr/>
      </xdr:nvSpPr>
      <xdr:spPr>
        <a:xfrm>
          <a:off x="6329014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23</a:t>
          </a:r>
        </a:p>
      </xdr:txBody>
    </xdr:sp>
    <xdr:clientData/>
  </xdr:twoCellAnchor>
  <xdr:twoCellAnchor>
    <xdr:from>
      <xdr:col>22</xdr:col>
      <xdr:colOff>26579</xdr:colOff>
      <xdr:row>23</xdr:row>
      <xdr:rowOff>28575</xdr:rowOff>
    </xdr:from>
    <xdr:to>
      <xdr:col>26</xdr:col>
      <xdr:colOff>91019</xdr:colOff>
      <xdr:row>28</xdr:row>
      <xdr:rowOff>66675</xdr:rowOff>
    </xdr:to>
    <xdr:sp macro="" textlink="">
      <xdr:nvSpPr>
        <xdr:cNvPr id="26" name="Tile24">
          <a:extLst>
            <a:ext uri="{FF2B5EF4-FFF2-40B4-BE49-F238E27FC236}">
              <a16:creationId xmlns:a16="http://schemas.microsoft.com/office/drawing/2014/main" id="{B58B6F97-0203-4E32-9C88-7EDD342CEEF7}"/>
            </a:ext>
          </a:extLst>
        </xdr:cNvPr>
        <xdr:cNvSpPr/>
      </xdr:nvSpPr>
      <xdr:spPr>
        <a:xfrm>
          <a:off x="2122079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24</a:t>
          </a:r>
        </a:p>
      </xdr:txBody>
    </xdr:sp>
    <xdr:clientData/>
  </xdr:twoCellAnchor>
  <xdr:twoCellAnchor>
    <xdr:from>
      <xdr:col>27</xdr:col>
      <xdr:colOff>45263</xdr:colOff>
      <xdr:row>23</xdr:row>
      <xdr:rowOff>28575</xdr:rowOff>
    </xdr:from>
    <xdr:to>
      <xdr:col>32</xdr:col>
      <xdr:colOff>14453</xdr:colOff>
      <xdr:row>28</xdr:row>
      <xdr:rowOff>66675</xdr:rowOff>
    </xdr:to>
    <xdr:sp macro="" textlink="">
      <xdr:nvSpPr>
        <xdr:cNvPr id="27" name="Tile25">
          <a:extLst>
            <a:ext uri="{FF2B5EF4-FFF2-40B4-BE49-F238E27FC236}">
              <a16:creationId xmlns:a16="http://schemas.microsoft.com/office/drawing/2014/main" id="{03CF18D3-A20A-4287-A721-4731E539199E}"/>
            </a:ext>
          </a:extLst>
        </xdr:cNvPr>
        <xdr:cNvSpPr/>
      </xdr:nvSpPr>
      <xdr:spPr>
        <a:xfrm>
          <a:off x="2617013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25</a:t>
          </a:r>
        </a:p>
      </xdr:txBody>
    </xdr:sp>
    <xdr:clientData/>
  </xdr:twoCellAnchor>
  <xdr:twoCellAnchor>
    <xdr:from>
      <xdr:col>32</xdr:col>
      <xdr:colOff>63946</xdr:colOff>
      <xdr:row>23</xdr:row>
      <xdr:rowOff>28575</xdr:rowOff>
    </xdr:from>
    <xdr:to>
      <xdr:col>37</xdr:col>
      <xdr:colOff>33136</xdr:colOff>
      <xdr:row>28</xdr:row>
      <xdr:rowOff>66675</xdr:rowOff>
    </xdr:to>
    <xdr:sp macro="" textlink="">
      <xdr:nvSpPr>
        <xdr:cNvPr id="28" name="Tile26">
          <a:extLst>
            <a:ext uri="{FF2B5EF4-FFF2-40B4-BE49-F238E27FC236}">
              <a16:creationId xmlns:a16="http://schemas.microsoft.com/office/drawing/2014/main" id="{8B331FBF-8696-42E4-BCFF-44809B1E4B79}"/>
            </a:ext>
          </a:extLst>
        </xdr:cNvPr>
        <xdr:cNvSpPr/>
      </xdr:nvSpPr>
      <xdr:spPr>
        <a:xfrm>
          <a:off x="3111946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26</a:t>
          </a:r>
        </a:p>
      </xdr:txBody>
    </xdr:sp>
    <xdr:clientData/>
  </xdr:twoCellAnchor>
  <xdr:twoCellAnchor>
    <xdr:from>
      <xdr:col>37</xdr:col>
      <xdr:colOff>82630</xdr:colOff>
      <xdr:row>23</xdr:row>
      <xdr:rowOff>28575</xdr:rowOff>
    </xdr:from>
    <xdr:to>
      <xdr:col>42</xdr:col>
      <xdr:colOff>51820</xdr:colOff>
      <xdr:row>28</xdr:row>
      <xdr:rowOff>66675</xdr:rowOff>
    </xdr:to>
    <xdr:sp macro="" textlink="">
      <xdr:nvSpPr>
        <xdr:cNvPr id="29" name="Tile27">
          <a:extLst>
            <a:ext uri="{FF2B5EF4-FFF2-40B4-BE49-F238E27FC236}">
              <a16:creationId xmlns:a16="http://schemas.microsoft.com/office/drawing/2014/main" id="{8FDF1435-F46C-4C2B-96F7-28F597D0551E}"/>
            </a:ext>
          </a:extLst>
        </xdr:cNvPr>
        <xdr:cNvSpPr/>
      </xdr:nvSpPr>
      <xdr:spPr>
        <a:xfrm>
          <a:off x="3606880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27</a:t>
          </a:r>
        </a:p>
      </xdr:txBody>
    </xdr:sp>
    <xdr:clientData/>
  </xdr:twoCellAnchor>
  <xdr:twoCellAnchor>
    <xdr:from>
      <xdr:col>43</xdr:col>
      <xdr:colOff>6063</xdr:colOff>
      <xdr:row>23</xdr:row>
      <xdr:rowOff>28575</xdr:rowOff>
    </xdr:from>
    <xdr:to>
      <xdr:col>47</xdr:col>
      <xdr:colOff>70503</xdr:colOff>
      <xdr:row>28</xdr:row>
      <xdr:rowOff>66675</xdr:rowOff>
    </xdr:to>
    <xdr:sp macro="" textlink="">
      <xdr:nvSpPr>
        <xdr:cNvPr id="30" name="Tile28">
          <a:extLst>
            <a:ext uri="{FF2B5EF4-FFF2-40B4-BE49-F238E27FC236}">
              <a16:creationId xmlns:a16="http://schemas.microsoft.com/office/drawing/2014/main" id="{4F416574-5551-4825-980C-4F973B9237CB}"/>
            </a:ext>
          </a:extLst>
        </xdr:cNvPr>
        <xdr:cNvSpPr/>
      </xdr:nvSpPr>
      <xdr:spPr>
        <a:xfrm>
          <a:off x="4101813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28</a:t>
          </a:r>
        </a:p>
      </xdr:txBody>
    </xdr:sp>
    <xdr:clientData/>
  </xdr:twoCellAnchor>
  <xdr:twoCellAnchor>
    <xdr:from>
      <xdr:col>48</xdr:col>
      <xdr:colOff>24747</xdr:colOff>
      <xdr:row>23</xdr:row>
      <xdr:rowOff>28575</xdr:rowOff>
    </xdr:from>
    <xdr:to>
      <xdr:col>52</xdr:col>
      <xdr:colOff>89187</xdr:colOff>
      <xdr:row>28</xdr:row>
      <xdr:rowOff>66675</xdr:rowOff>
    </xdr:to>
    <xdr:sp macro="" textlink="">
      <xdr:nvSpPr>
        <xdr:cNvPr id="31" name="Tile29">
          <a:extLst>
            <a:ext uri="{FF2B5EF4-FFF2-40B4-BE49-F238E27FC236}">
              <a16:creationId xmlns:a16="http://schemas.microsoft.com/office/drawing/2014/main" id="{8609F3E2-BC31-41D2-8D91-27457CF63533}"/>
            </a:ext>
          </a:extLst>
        </xdr:cNvPr>
        <xdr:cNvSpPr/>
      </xdr:nvSpPr>
      <xdr:spPr>
        <a:xfrm>
          <a:off x="4596747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29</a:t>
          </a:r>
        </a:p>
      </xdr:txBody>
    </xdr:sp>
    <xdr:clientData/>
  </xdr:twoCellAnchor>
  <xdr:twoCellAnchor>
    <xdr:from>
      <xdr:col>53</xdr:col>
      <xdr:colOff>43430</xdr:colOff>
      <xdr:row>23</xdr:row>
      <xdr:rowOff>28575</xdr:rowOff>
    </xdr:from>
    <xdr:to>
      <xdr:col>58</xdr:col>
      <xdr:colOff>12620</xdr:colOff>
      <xdr:row>28</xdr:row>
      <xdr:rowOff>66675</xdr:rowOff>
    </xdr:to>
    <xdr:sp macro="" textlink="">
      <xdr:nvSpPr>
        <xdr:cNvPr id="32" name="Tile30">
          <a:extLst>
            <a:ext uri="{FF2B5EF4-FFF2-40B4-BE49-F238E27FC236}">
              <a16:creationId xmlns:a16="http://schemas.microsoft.com/office/drawing/2014/main" id="{3F4C91F8-A9AF-4BEC-BEB6-C73AE9BBD98D}"/>
            </a:ext>
          </a:extLst>
        </xdr:cNvPr>
        <xdr:cNvSpPr/>
      </xdr:nvSpPr>
      <xdr:spPr>
        <a:xfrm>
          <a:off x="5091680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30</a:t>
          </a:r>
        </a:p>
      </xdr:txBody>
    </xdr:sp>
    <xdr:clientData/>
  </xdr:twoCellAnchor>
  <xdr:twoCellAnchor>
    <xdr:from>
      <xdr:col>58</xdr:col>
      <xdr:colOff>62114</xdr:colOff>
      <xdr:row>23</xdr:row>
      <xdr:rowOff>28575</xdr:rowOff>
    </xdr:from>
    <xdr:to>
      <xdr:col>63</xdr:col>
      <xdr:colOff>31304</xdr:colOff>
      <xdr:row>28</xdr:row>
      <xdr:rowOff>66675</xdr:rowOff>
    </xdr:to>
    <xdr:sp macro="" textlink="">
      <xdr:nvSpPr>
        <xdr:cNvPr id="33" name="Tile31">
          <a:extLst>
            <a:ext uri="{FF2B5EF4-FFF2-40B4-BE49-F238E27FC236}">
              <a16:creationId xmlns:a16="http://schemas.microsoft.com/office/drawing/2014/main" id="{7DEA6E7A-8357-4168-9826-F45567EE6EEC}"/>
            </a:ext>
          </a:extLst>
        </xdr:cNvPr>
        <xdr:cNvSpPr/>
      </xdr:nvSpPr>
      <xdr:spPr>
        <a:xfrm>
          <a:off x="5586614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31</a:t>
          </a:r>
        </a:p>
      </xdr:txBody>
    </xdr:sp>
    <xdr:clientData/>
  </xdr:twoCellAnchor>
  <xdr:twoCellAnchor>
    <xdr:from>
      <xdr:col>63</xdr:col>
      <xdr:colOff>80797</xdr:colOff>
      <xdr:row>23</xdr:row>
      <xdr:rowOff>28575</xdr:rowOff>
    </xdr:from>
    <xdr:to>
      <xdr:col>68</xdr:col>
      <xdr:colOff>49987</xdr:colOff>
      <xdr:row>28</xdr:row>
      <xdr:rowOff>66675</xdr:rowOff>
    </xdr:to>
    <xdr:sp macro="" textlink="">
      <xdr:nvSpPr>
        <xdr:cNvPr id="34" name="Tile32">
          <a:extLst>
            <a:ext uri="{FF2B5EF4-FFF2-40B4-BE49-F238E27FC236}">
              <a16:creationId xmlns:a16="http://schemas.microsoft.com/office/drawing/2014/main" id="{99AF39B5-4108-46CF-9568-72E7AA7453D5}"/>
            </a:ext>
          </a:extLst>
        </xdr:cNvPr>
        <xdr:cNvSpPr/>
      </xdr:nvSpPr>
      <xdr:spPr>
        <a:xfrm>
          <a:off x="6081547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32</a:t>
          </a:r>
        </a:p>
      </xdr:txBody>
    </xdr:sp>
    <xdr:clientData/>
  </xdr:twoCellAnchor>
  <xdr:twoCellAnchor>
    <xdr:from>
      <xdr:col>69</xdr:col>
      <xdr:colOff>4231</xdr:colOff>
      <xdr:row>23</xdr:row>
      <xdr:rowOff>28575</xdr:rowOff>
    </xdr:from>
    <xdr:to>
      <xdr:col>73</xdr:col>
      <xdr:colOff>68671</xdr:colOff>
      <xdr:row>28</xdr:row>
      <xdr:rowOff>66675</xdr:rowOff>
    </xdr:to>
    <xdr:sp macro="" textlink="">
      <xdr:nvSpPr>
        <xdr:cNvPr id="35" name="Tile33">
          <a:extLst>
            <a:ext uri="{FF2B5EF4-FFF2-40B4-BE49-F238E27FC236}">
              <a16:creationId xmlns:a16="http://schemas.microsoft.com/office/drawing/2014/main" id="{6E461936-91C6-4AAD-89CB-E4467B99BD19}"/>
            </a:ext>
          </a:extLst>
        </xdr:cNvPr>
        <xdr:cNvSpPr/>
      </xdr:nvSpPr>
      <xdr:spPr>
        <a:xfrm>
          <a:off x="6576481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33</a:t>
          </a:r>
        </a:p>
      </xdr:txBody>
    </xdr:sp>
    <xdr:clientData/>
  </xdr:twoCellAnchor>
  <xdr:twoCellAnchor>
    <xdr:from>
      <xdr:col>19</xdr:col>
      <xdr:colOff>64862</xdr:colOff>
      <xdr:row>27</xdr:row>
      <xdr:rowOff>76200</xdr:rowOff>
    </xdr:from>
    <xdr:to>
      <xdr:col>24</xdr:col>
      <xdr:colOff>34052</xdr:colOff>
      <xdr:row>33</xdr:row>
      <xdr:rowOff>19050</xdr:rowOff>
    </xdr:to>
    <xdr:sp macro="" textlink="">
      <xdr:nvSpPr>
        <xdr:cNvPr id="36" name="Tile34">
          <a:extLst>
            <a:ext uri="{FF2B5EF4-FFF2-40B4-BE49-F238E27FC236}">
              <a16:creationId xmlns:a16="http://schemas.microsoft.com/office/drawing/2014/main" id="{FB9D4FEC-F1F1-4FB8-94EB-CDAAFE637F1F}"/>
            </a:ext>
          </a:extLst>
        </xdr:cNvPr>
        <xdr:cNvSpPr/>
      </xdr:nvSpPr>
      <xdr:spPr>
        <a:xfrm>
          <a:off x="1874612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34</a:t>
          </a:r>
        </a:p>
      </xdr:txBody>
    </xdr:sp>
    <xdr:clientData/>
  </xdr:twoCellAnchor>
  <xdr:twoCellAnchor>
    <xdr:from>
      <xdr:col>24</xdr:col>
      <xdr:colOff>83546</xdr:colOff>
      <xdr:row>27</xdr:row>
      <xdr:rowOff>76200</xdr:rowOff>
    </xdr:from>
    <xdr:to>
      <xdr:col>29</xdr:col>
      <xdr:colOff>52736</xdr:colOff>
      <xdr:row>33</xdr:row>
      <xdr:rowOff>19050</xdr:rowOff>
    </xdr:to>
    <xdr:sp macro="" textlink="">
      <xdr:nvSpPr>
        <xdr:cNvPr id="37" name="Tile35">
          <a:extLst>
            <a:ext uri="{FF2B5EF4-FFF2-40B4-BE49-F238E27FC236}">
              <a16:creationId xmlns:a16="http://schemas.microsoft.com/office/drawing/2014/main" id="{25BF1BF0-7DBC-4CB8-967D-024ADF8646EF}"/>
            </a:ext>
          </a:extLst>
        </xdr:cNvPr>
        <xdr:cNvSpPr/>
      </xdr:nvSpPr>
      <xdr:spPr>
        <a:xfrm>
          <a:off x="2369546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35</a:t>
          </a:r>
        </a:p>
      </xdr:txBody>
    </xdr:sp>
    <xdr:clientData/>
  </xdr:twoCellAnchor>
  <xdr:twoCellAnchor>
    <xdr:from>
      <xdr:col>30</xdr:col>
      <xdr:colOff>6979</xdr:colOff>
      <xdr:row>27</xdr:row>
      <xdr:rowOff>76200</xdr:rowOff>
    </xdr:from>
    <xdr:to>
      <xdr:col>34</xdr:col>
      <xdr:colOff>71419</xdr:colOff>
      <xdr:row>33</xdr:row>
      <xdr:rowOff>19050</xdr:rowOff>
    </xdr:to>
    <xdr:sp macro="" textlink="">
      <xdr:nvSpPr>
        <xdr:cNvPr id="38" name="Tile36">
          <a:extLst>
            <a:ext uri="{FF2B5EF4-FFF2-40B4-BE49-F238E27FC236}">
              <a16:creationId xmlns:a16="http://schemas.microsoft.com/office/drawing/2014/main" id="{03E5386E-13A4-4552-A333-045D06B1BD18}"/>
            </a:ext>
          </a:extLst>
        </xdr:cNvPr>
        <xdr:cNvSpPr/>
      </xdr:nvSpPr>
      <xdr:spPr>
        <a:xfrm>
          <a:off x="2864479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36</a:t>
          </a:r>
        </a:p>
      </xdr:txBody>
    </xdr:sp>
    <xdr:clientData/>
  </xdr:twoCellAnchor>
  <xdr:twoCellAnchor>
    <xdr:from>
      <xdr:col>35</xdr:col>
      <xdr:colOff>25663</xdr:colOff>
      <xdr:row>27</xdr:row>
      <xdr:rowOff>76200</xdr:rowOff>
    </xdr:from>
    <xdr:to>
      <xdr:col>39</xdr:col>
      <xdr:colOff>90103</xdr:colOff>
      <xdr:row>33</xdr:row>
      <xdr:rowOff>19050</xdr:rowOff>
    </xdr:to>
    <xdr:sp macro="" textlink="">
      <xdr:nvSpPr>
        <xdr:cNvPr id="39" name="Tile37">
          <a:extLst>
            <a:ext uri="{FF2B5EF4-FFF2-40B4-BE49-F238E27FC236}">
              <a16:creationId xmlns:a16="http://schemas.microsoft.com/office/drawing/2014/main" id="{0A0DECD3-8740-4A8C-A128-AA423F465AAA}"/>
            </a:ext>
          </a:extLst>
        </xdr:cNvPr>
        <xdr:cNvSpPr/>
      </xdr:nvSpPr>
      <xdr:spPr>
        <a:xfrm>
          <a:off x="3359413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37</a:t>
          </a:r>
        </a:p>
      </xdr:txBody>
    </xdr:sp>
    <xdr:clientData/>
  </xdr:twoCellAnchor>
  <xdr:twoCellAnchor>
    <xdr:from>
      <xdr:col>40</xdr:col>
      <xdr:colOff>44347</xdr:colOff>
      <xdr:row>27</xdr:row>
      <xdr:rowOff>76200</xdr:rowOff>
    </xdr:from>
    <xdr:to>
      <xdr:col>45</xdr:col>
      <xdr:colOff>13537</xdr:colOff>
      <xdr:row>33</xdr:row>
      <xdr:rowOff>19050</xdr:rowOff>
    </xdr:to>
    <xdr:sp macro="" textlink="">
      <xdr:nvSpPr>
        <xdr:cNvPr id="40" name="Tile38">
          <a:extLst>
            <a:ext uri="{FF2B5EF4-FFF2-40B4-BE49-F238E27FC236}">
              <a16:creationId xmlns:a16="http://schemas.microsoft.com/office/drawing/2014/main" id="{3715D511-F0A1-4244-B3D2-ABF2BBD856C3}"/>
            </a:ext>
          </a:extLst>
        </xdr:cNvPr>
        <xdr:cNvSpPr/>
      </xdr:nvSpPr>
      <xdr:spPr>
        <a:xfrm>
          <a:off x="3854347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38</a:t>
          </a:r>
        </a:p>
      </xdr:txBody>
    </xdr:sp>
    <xdr:clientData/>
  </xdr:twoCellAnchor>
  <xdr:twoCellAnchor>
    <xdr:from>
      <xdr:col>45</xdr:col>
      <xdr:colOff>63030</xdr:colOff>
      <xdr:row>27</xdr:row>
      <xdr:rowOff>76200</xdr:rowOff>
    </xdr:from>
    <xdr:to>
      <xdr:col>50</xdr:col>
      <xdr:colOff>32220</xdr:colOff>
      <xdr:row>33</xdr:row>
      <xdr:rowOff>19050</xdr:rowOff>
    </xdr:to>
    <xdr:sp macro="" textlink="">
      <xdr:nvSpPr>
        <xdr:cNvPr id="41" name="Tile39">
          <a:extLst>
            <a:ext uri="{FF2B5EF4-FFF2-40B4-BE49-F238E27FC236}">
              <a16:creationId xmlns:a16="http://schemas.microsoft.com/office/drawing/2014/main" id="{E01E6BBA-D30A-41C3-BC80-5D28660BD164}"/>
            </a:ext>
          </a:extLst>
        </xdr:cNvPr>
        <xdr:cNvSpPr/>
      </xdr:nvSpPr>
      <xdr:spPr>
        <a:xfrm>
          <a:off x="4349280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39</a:t>
          </a:r>
        </a:p>
      </xdr:txBody>
    </xdr:sp>
    <xdr:clientData/>
  </xdr:twoCellAnchor>
  <xdr:twoCellAnchor>
    <xdr:from>
      <xdr:col>50</xdr:col>
      <xdr:colOff>81714</xdr:colOff>
      <xdr:row>27</xdr:row>
      <xdr:rowOff>76200</xdr:rowOff>
    </xdr:from>
    <xdr:to>
      <xdr:col>55</xdr:col>
      <xdr:colOff>50904</xdr:colOff>
      <xdr:row>33</xdr:row>
      <xdr:rowOff>19050</xdr:rowOff>
    </xdr:to>
    <xdr:sp macro="" textlink="">
      <xdr:nvSpPr>
        <xdr:cNvPr id="42" name="Tile40">
          <a:extLst>
            <a:ext uri="{FF2B5EF4-FFF2-40B4-BE49-F238E27FC236}">
              <a16:creationId xmlns:a16="http://schemas.microsoft.com/office/drawing/2014/main" id="{1CD4B6AA-7661-4310-9C08-32AE25D67179}"/>
            </a:ext>
          </a:extLst>
        </xdr:cNvPr>
        <xdr:cNvSpPr/>
      </xdr:nvSpPr>
      <xdr:spPr>
        <a:xfrm>
          <a:off x="4844214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40</a:t>
          </a:r>
        </a:p>
      </xdr:txBody>
    </xdr:sp>
    <xdr:clientData/>
  </xdr:twoCellAnchor>
  <xdr:twoCellAnchor>
    <xdr:from>
      <xdr:col>56</xdr:col>
      <xdr:colOff>5147</xdr:colOff>
      <xdr:row>27</xdr:row>
      <xdr:rowOff>76200</xdr:rowOff>
    </xdr:from>
    <xdr:to>
      <xdr:col>60</xdr:col>
      <xdr:colOff>69587</xdr:colOff>
      <xdr:row>33</xdr:row>
      <xdr:rowOff>19050</xdr:rowOff>
    </xdr:to>
    <xdr:sp macro="" textlink="">
      <xdr:nvSpPr>
        <xdr:cNvPr id="43" name="Tile41">
          <a:extLst>
            <a:ext uri="{FF2B5EF4-FFF2-40B4-BE49-F238E27FC236}">
              <a16:creationId xmlns:a16="http://schemas.microsoft.com/office/drawing/2014/main" id="{C65A64FC-8332-4E2D-8C2F-F93812E624E9}"/>
            </a:ext>
          </a:extLst>
        </xdr:cNvPr>
        <xdr:cNvSpPr/>
      </xdr:nvSpPr>
      <xdr:spPr>
        <a:xfrm>
          <a:off x="5339147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41</a:t>
          </a:r>
        </a:p>
      </xdr:txBody>
    </xdr:sp>
    <xdr:clientData/>
  </xdr:twoCellAnchor>
  <xdr:twoCellAnchor>
    <xdr:from>
      <xdr:col>61</xdr:col>
      <xdr:colOff>23831</xdr:colOff>
      <xdr:row>27</xdr:row>
      <xdr:rowOff>76200</xdr:rowOff>
    </xdr:from>
    <xdr:to>
      <xdr:col>65</xdr:col>
      <xdr:colOff>88271</xdr:colOff>
      <xdr:row>33</xdr:row>
      <xdr:rowOff>19050</xdr:rowOff>
    </xdr:to>
    <xdr:sp macro="" textlink="">
      <xdr:nvSpPr>
        <xdr:cNvPr id="44" name="Tile42">
          <a:extLst>
            <a:ext uri="{FF2B5EF4-FFF2-40B4-BE49-F238E27FC236}">
              <a16:creationId xmlns:a16="http://schemas.microsoft.com/office/drawing/2014/main" id="{8D36039D-3AB1-4845-8C61-3D8DF89B51BC}"/>
            </a:ext>
          </a:extLst>
        </xdr:cNvPr>
        <xdr:cNvSpPr/>
      </xdr:nvSpPr>
      <xdr:spPr>
        <a:xfrm>
          <a:off x="5834081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42</a:t>
          </a:r>
        </a:p>
      </xdr:txBody>
    </xdr:sp>
    <xdr:clientData/>
  </xdr:twoCellAnchor>
  <xdr:twoCellAnchor>
    <xdr:from>
      <xdr:col>66</xdr:col>
      <xdr:colOff>42514</xdr:colOff>
      <xdr:row>27</xdr:row>
      <xdr:rowOff>76200</xdr:rowOff>
    </xdr:from>
    <xdr:to>
      <xdr:col>71</xdr:col>
      <xdr:colOff>11704</xdr:colOff>
      <xdr:row>33</xdr:row>
      <xdr:rowOff>19050</xdr:rowOff>
    </xdr:to>
    <xdr:sp macro="" textlink="">
      <xdr:nvSpPr>
        <xdr:cNvPr id="45" name="Tile43">
          <a:extLst>
            <a:ext uri="{FF2B5EF4-FFF2-40B4-BE49-F238E27FC236}">
              <a16:creationId xmlns:a16="http://schemas.microsoft.com/office/drawing/2014/main" id="{15A5EB65-C925-4063-A05F-A325E6950633}"/>
            </a:ext>
          </a:extLst>
        </xdr:cNvPr>
        <xdr:cNvSpPr/>
      </xdr:nvSpPr>
      <xdr:spPr>
        <a:xfrm>
          <a:off x="6329014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43</a:t>
          </a:r>
        </a:p>
      </xdr:txBody>
    </xdr:sp>
    <xdr:clientData/>
  </xdr:twoCellAnchor>
  <xdr:twoCellAnchor>
    <xdr:from>
      <xdr:col>71</xdr:col>
      <xdr:colOff>61198</xdr:colOff>
      <xdr:row>27</xdr:row>
      <xdr:rowOff>76200</xdr:rowOff>
    </xdr:from>
    <xdr:to>
      <xdr:col>76</xdr:col>
      <xdr:colOff>30388</xdr:colOff>
      <xdr:row>33</xdr:row>
      <xdr:rowOff>19050</xdr:rowOff>
    </xdr:to>
    <xdr:sp macro="" textlink="">
      <xdr:nvSpPr>
        <xdr:cNvPr id="46" name="Tile44">
          <a:extLst>
            <a:ext uri="{FF2B5EF4-FFF2-40B4-BE49-F238E27FC236}">
              <a16:creationId xmlns:a16="http://schemas.microsoft.com/office/drawing/2014/main" id="{2870B00D-A9FF-4EB2-BFFC-A9F74607AD62}"/>
            </a:ext>
          </a:extLst>
        </xdr:cNvPr>
        <xdr:cNvSpPr/>
      </xdr:nvSpPr>
      <xdr:spPr>
        <a:xfrm>
          <a:off x="6823948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44</a:t>
          </a:r>
        </a:p>
      </xdr:txBody>
    </xdr:sp>
    <xdr:clientData/>
  </xdr:twoCellAnchor>
  <xdr:twoCellAnchor>
    <xdr:from>
      <xdr:col>22</xdr:col>
      <xdr:colOff>26579</xdr:colOff>
      <xdr:row>32</xdr:row>
      <xdr:rowOff>28575</xdr:rowOff>
    </xdr:from>
    <xdr:to>
      <xdr:col>26</xdr:col>
      <xdr:colOff>91019</xdr:colOff>
      <xdr:row>37</xdr:row>
      <xdr:rowOff>66675</xdr:rowOff>
    </xdr:to>
    <xdr:sp macro="" textlink="">
      <xdr:nvSpPr>
        <xdr:cNvPr id="47" name="Tile45">
          <a:extLst>
            <a:ext uri="{FF2B5EF4-FFF2-40B4-BE49-F238E27FC236}">
              <a16:creationId xmlns:a16="http://schemas.microsoft.com/office/drawing/2014/main" id="{3DB800B1-8745-4878-96F6-87AAC2FA306C}"/>
            </a:ext>
          </a:extLst>
        </xdr:cNvPr>
        <xdr:cNvSpPr/>
      </xdr:nvSpPr>
      <xdr:spPr>
        <a:xfrm>
          <a:off x="2122079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45</a:t>
          </a:r>
        </a:p>
      </xdr:txBody>
    </xdr:sp>
    <xdr:clientData/>
  </xdr:twoCellAnchor>
  <xdr:twoCellAnchor>
    <xdr:from>
      <xdr:col>27</xdr:col>
      <xdr:colOff>45263</xdr:colOff>
      <xdr:row>32</xdr:row>
      <xdr:rowOff>28575</xdr:rowOff>
    </xdr:from>
    <xdr:to>
      <xdr:col>32</xdr:col>
      <xdr:colOff>14453</xdr:colOff>
      <xdr:row>37</xdr:row>
      <xdr:rowOff>66675</xdr:rowOff>
    </xdr:to>
    <xdr:sp macro="" textlink="">
      <xdr:nvSpPr>
        <xdr:cNvPr id="48" name="Tile46">
          <a:extLst>
            <a:ext uri="{FF2B5EF4-FFF2-40B4-BE49-F238E27FC236}">
              <a16:creationId xmlns:a16="http://schemas.microsoft.com/office/drawing/2014/main" id="{95D912DA-AD21-4BC0-BD35-AC4233319992}"/>
            </a:ext>
          </a:extLst>
        </xdr:cNvPr>
        <xdr:cNvSpPr/>
      </xdr:nvSpPr>
      <xdr:spPr>
        <a:xfrm>
          <a:off x="2617013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46</a:t>
          </a:r>
        </a:p>
      </xdr:txBody>
    </xdr:sp>
    <xdr:clientData/>
  </xdr:twoCellAnchor>
  <xdr:twoCellAnchor>
    <xdr:from>
      <xdr:col>32</xdr:col>
      <xdr:colOff>63946</xdr:colOff>
      <xdr:row>32</xdr:row>
      <xdr:rowOff>28575</xdr:rowOff>
    </xdr:from>
    <xdr:to>
      <xdr:col>37</xdr:col>
      <xdr:colOff>33136</xdr:colOff>
      <xdr:row>37</xdr:row>
      <xdr:rowOff>66675</xdr:rowOff>
    </xdr:to>
    <xdr:sp macro="" textlink="">
      <xdr:nvSpPr>
        <xdr:cNvPr id="49" name="Tile47">
          <a:extLst>
            <a:ext uri="{FF2B5EF4-FFF2-40B4-BE49-F238E27FC236}">
              <a16:creationId xmlns:a16="http://schemas.microsoft.com/office/drawing/2014/main" id="{09B59EF1-4E85-4BAB-B200-1010480E2BF9}"/>
            </a:ext>
          </a:extLst>
        </xdr:cNvPr>
        <xdr:cNvSpPr/>
      </xdr:nvSpPr>
      <xdr:spPr>
        <a:xfrm>
          <a:off x="3111946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47</a:t>
          </a:r>
        </a:p>
      </xdr:txBody>
    </xdr:sp>
    <xdr:clientData/>
  </xdr:twoCellAnchor>
  <xdr:twoCellAnchor>
    <xdr:from>
      <xdr:col>37</xdr:col>
      <xdr:colOff>82630</xdr:colOff>
      <xdr:row>32</xdr:row>
      <xdr:rowOff>28575</xdr:rowOff>
    </xdr:from>
    <xdr:to>
      <xdr:col>42</xdr:col>
      <xdr:colOff>51820</xdr:colOff>
      <xdr:row>37</xdr:row>
      <xdr:rowOff>66675</xdr:rowOff>
    </xdr:to>
    <xdr:sp macro="" textlink="">
      <xdr:nvSpPr>
        <xdr:cNvPr id="50" name="Tile48">
          <a:extLst>
            <a:ext uri="{FF2B5EF4-FFF2-40B4-BE49-F238E27FC236}">
              <a16:creationId xmlns:a16="http://schemas.microsoft.com/office/drawing/2014/main" id="{86B24BCC-27CD-440B-B101-81DEA9B76F38}"/>
            </a:ext>
          </a:extLst>
        </xdr:cNvPr>
        <xdr:cNvSpPr/>
      </xdr:nvSpPr>
      <xdr:spPr>
        <a:xfrm>
          <a:off x="3606880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48</a:t>
          </a:r>
        </a:p>
      </xdr:txBody>
    </xdr:sp>
    <xdr:clientData/>
  </xdr:twoCellAnchor>
  <xdr:twoCellAnchor>
    <xdr:from>
      <xdr:col>43</xdr:col>
      <xdr:colOff>6063</xdr:colOff>
      <xdr:row>32</xdr:row>
      <xdr:rowOff>28575</xdr:rowOff>
    </xdr:from>
    <xdr:to>
      <xdr:col>47</xdr:col>
      <xdr:colOff>70503</xdr:colOff>
      <xdr:row>37</xdr:row>
      <xdr:rowOff>66675</xdr:rowOff>
    </xdr:to>
    <xdr:sp macro="" textlink="">
      <xdr:nvSpPr>
        <xdr:cNvPr id="51" name="Tile49">
          <a:extLst>
            <a:ext uri="{FF2B5EF4-FFF2-40B4-BE49-F238E27FC236}">
              <a16:creationId xmlns:a16="http://schemas.microsoft.com/office/drawing/2014/main" id="{7C4D1B4C-6899-4A3F-B7B6-27973E6874F7}"/>
            </a:ext>
          </a:extLst>
        </xdr:cNvPr>
        <xdr:cNvSpPr/>
      </xdr:nvSpPr>
      <xdr:spPr>
        <a:xfrm>
          <a:off x="4101813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49</a:t>
          </a:r>
        </a:p>
      </xdr:txBody>
    </xdr:sp>
    <xdr:clientData/>
  </xdr:twoCellAnchor>
  <xdr:twoCellAnchor>
    <xdr:from>
      <xdr:col>48</xdr:col>
      <xdr:colOff>24747</xdr:colOff>
      <xdr:row>32</xdr:row>
      <xdr:rowOff>28575</xdr:rowOff>
    </xdr:from>
    <xdr:to>
      <xdr:col>52</xdr:col>
      <xdr:colOff>89187</xdr:colOff>
      <xdr:row>37</xdr:row>
      <xdr:rowOff>66675</xdr:rowOff>
    </xdr:to>
    <xdr:sp macro="" textlink="">
      <xdr:nvSpPr>
        <xdr:cNvPr id="52" name="Tile50">
          <a:extLst>
            <a:ext uri="{FF2B5EF4-FFF2-40B4-BE49-F238E27FC236}">
              <a16:creationId xmlns:a16="http://schemas.microsoft.com/office/drawing/2014/main" id="{093BCB18-D3C8-4235-A2CD-F165D1DACF37}"/>
            </a:ext>
          </a:extLst>
        </xdr:cNvPr>
        <xdr:cNvSpPr/>
      </xdr:nvSpPr>
      <xdr:spPr>
        <a:xfrm>
          <a:off x="4596747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50</a:t>
          </a:r>
        </a:p>
      </xdr:txBody>
    </xdr:sp>
    <xdr:clientData/>
  </xdr:twoCellAnchor>
  <xdr:twoCellAnchor>
    <xdr:from>
      <xdr:col>53</xdr:col>
      <xdr:colOff>43430</xdr:colOff>
      <xdr:row>32</xdr:row>
      <xdr:rowOff>28575</xdr:rowOff>
    </xdr:from>
    <xdr:to>
      <xdr:col>58</xdr:col>
      <xdr:colOff>12620</xdr:colOff>
      <xdr:row>37</xdr:row>
      <xdr:rowOff>66675</xdr:rowOff>
    </xdr:to>
    <xdr:sp macro="" textlink="">
      <xdr:nvSpPr>
        <xdr:cNvPr id="53" name="Tile51">
          <a:extLst>
            <a:ext uri="{FF2B5EF4-FFF2-40B4-BE49-F238E27FC236}">
              <a16:creationId xmlns:a16="http://schemas.microsoft.com/office/drawing/2014/main" id="{BC6D5F2C-62CB-4E23-B55F-7CB8DA898486}"/>
            </a:ext>
          </a:extLst>
        </xdr:cNvPr>
        <xdr:cNvSpPr/>
      </xdr:nvSpPr>
      <xdr:spPr>
        <a:xfrm>
          <a:off x="5091680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51</a:t>
          </a:r>
        </a:p>
      </xdr:txBody>
    </xdr:sp>
    <xdr:clientData/>
  </xdr:twoCellAnchor>
  <xdr:twoCellAnchor>
    <xdr:from>
      <xdr:col>58</xdr:col>
      <xdr:colOff>62114</xdr:colOff>
      <xdr:row>32</xdr:row>
      <xdr:rowOff>28575</xdr:rowOff>
    </xdr:from>
    <xdr:to>
      <xdr:col>63</xdr:col>
      <xdr:colOff>31304</xdr:colOff>
      <xdr:row>37</xdr:row>
      <xdr:rowOff>66675</xdr:rowOff>
    </xdr:to>
    <xdr:sp macro="" textlink="">
      <xdr:nvSpPr>
        <xdr:cNvPr id="54" name="Tile52">
          <a:extLst>
            <a:ext uri="{FF2B5EF4-FFF2-40B4-BE49-F238E27FC236}">
              <a16:creationId xmlns:a16="http://schemas.microsoft.com/office/drawing/2014/main" id="{48085D0B-AF8D-47FC-A0BC-F82539D98A96}"/>
            </a:ext>
          </a:extLst>
        </xdr:cNvPr>
        <xdr:cNvSpPr/>
      </xdr:nvSpPr>
      <xdr:spPr>
        <a:xfrm>
          <a:off x="5586614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52</a:t>
          </a:r>
        </a:p>
      </xdr:txBody>
    </xdr:sp>
    <xdr:clientData/>
  </xdr:twoCellAnchor>
  <xdr:twoCellAnchor>
    <xdr:from>
      <xdr:col>63</xdr:col>
      <xdr:colOff>80797</xdr:colOff>
      <xdr:row>32</xdr:row>
      <xdr:rowOff>28575</xdr:rowOff>
    </xdr:from>
    <xdr:to>
      <xdr:col>68</xdr:col>
      <xdr:colOff>49987</xdr:colOff>
      <xdr:row>37</xdr:row>
      <xdr:rowOff>66675</xdr:rowOff>
    </xdr:to>
    <xdr:sp macro="" textlink="">
      <xdr:nvSpPr>
        <xdr:cNvPr id="55" name="Tile53">
          <a:extLst>
            <a:ext uri="{FF2B5EF4-FFF2-40B4-BE49-F238E27FC236}">
              <a16:creationId xmlns:a16="http://schemas.microsoft.com/office/drawing/2014/main" id="{50D286F3-91CF-4B0F-8601-ECEDA7940777}"/>
            </a:ext>
          </a:extLst>
        </xdr:cNvPr>
        <xdr:cNvSpPr/>
      </xdr:nvSpPr>
      <xdr:spPr>
        <a:xfrm>
          <a:off x="6081547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53</a:t>
          </a:r>
        </a:p>
      </xdr:txBody>
    </xdr:sp>
    <xdr:clientData/>
  </xdr:twoCellAnchor>
  <xdr:twoCellAnchor>
    <xdr:from>
      <xdr:col>69</xdr:col>
      <xdr:colOff>4231</xdr:colOff>
      <xdr:row>32</xdr:row>
      <xdr:rowOff>28575</xdr:rowOff>
    </xdr:from>
    <xdr:to>
      <xdr:col>73</xdr:col>
      <xdr:colOff>68671</xdr:colOff>
      <xdr:row>37</xdr:row>
      <xdr:rowOff>66675</xdr:rowOff>
    </xdr:to>
    <xdr:sp macro="" textlink="">
      <xdr:nvSpPr>
        <xdr:cNvPr id="56" name="Tile54">
          <a:extLst>
            <a:ext uri="{FF2B5EF4-FFF2-40B4-BE49-F238E27FC236}">
              <a16:creationId xmlns:a16="http://schemas.microsoft.com/office/drawing/2014/main" id="{5F51390A-8108-40DE-8ABB-514A30DA0016}"/>
            </a:ext>
          </a:extLst>
        </xdr:cNvPr>
        <xdr:cNvSpPr/>
      </xdr:nvSpPr>
      <xdr:spPr>
        <a:xfrm>
          <a:off x="6576481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54</a:t>
          </a:r>
        </a:p>
      </xdr:txBody>
    </xdr:sp>
    <xdr:clientData/>
  </xdr:twoCellAnchor>
  <xdr:twoCellAnchor>
    <xdr:from>
      <xdr:col>24</xdr:col>
      <xdr:colOff>83546</xdr:colOff>
      <xdr:row>36</xdr:row>
      <xdr:rowOff>76200</xdr:rowOff>
    </xdr:from>
    <xdr:to>
      <xdr:col>29</xdr:col>
      <xdr:colOff>52736</xdr:colOff>
      <xdr:row>42</xdr:row>
      <xdr:rowOff>19050</xdr:rowOff>
    </xdr:to>
    <xdr:sp macro="" textlink="">
      <xdr:nvSpPr>
        <xdr:cNvPr id="57" name="Tile55">
          <a:extLst>
            <a:ext uri="{FF2B5EF4-FFF2-40B4-BE49-F238E27FC236}">
              <a16:creationId xmlns:a16="http://schemas.microsoft.com/office/drawing/2014/main" id="{3313DAFE-6B36-4039-BEF7-ECEB7184F7DC}"/>
            </a:ext>
          </a:extLst>
        </xdr:cNvPr>
        <xdr:cNvSpPr/>
      </xdr:nvSpPr>
      <xdr:spPr>
        <a:xfrm>
          <a:off x="2369546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55</a:t>
          </a:r>
        </a:p>
      </xdr:txBody>
    </xdr:sp>
    <xdr:clientData/>
  </xdr:twoCellAnchor>
  <xdr:twoCellAnchor>
    <xdr:from>
      <xdr:col>30</xdr:col>
      <xdr:colOff>6979</xdr:colOff>
      <xdr:row>36</xdr:row>
      <xdr:rowOff>76200</xdr:rowOff>
    </xdr:from>
    <xdr:to>
      <xdr:col>34</xdr:col>
      <xdr:colOff>71419</xdr:colOff>
      <xdr:row>42</xdr:row>
      <xdr:rowOff>19050</xdr:rowOff>
    </xdr:to>
    <xdr:sp macro="" textlink="">
      <xdr:nvSpPr>
        <xdr:cNvPr id="58" name="Tile56">
          <a:extLst>
            <a:ext uri="{FF2B5EF4-FFF2-40B4-BE49-F238E27FC236}">
              <a16:creationId xmlns:a16="http://schemas.microsoft.com/office/drawing/2014/main" id="{7FE2DD01-DDFD-431C-8E24-C13B8776F89D}"/>
            </a:ext>
          </a:extLst>
        </xdr:cNvPr>
        <xdr:cNvSpPr/>
      </xdr:nvSpPr>
      <xdr:spPr>
        <a:xfrm>
          <a:off x="2864479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56</a:t>
          </a:r>
        </a:p>
      </xdr:txBody>
    </xdr:sp>
    <xdr:clientData/>
  </xdr:twoCellAnchor>
  <xdr:twoCellAnchor>
    <xdr:from>
      <xdr:col>35</xdr:col>
      <xdr:colOff>25663</xdr:colOff>
      <xdr:row>36</xdr:row>
      <xdr:rowOff>76200</xdr:rowOff>
    </xdr:from>
    <xdr:to>
      <xdr:col>39</xdr:col>
      <xdr:colOff>90103</xdr:colOff>
      <xdr:row>42</xdr:row>
      <xdr:rowOff>19050</xdr:rowOff>
    </xdr:to>
    <xdr:sp macro="" textlink="">
      <xdr:nvSpPr>
        <xdr:cNvPr id="59" name="Tile57">
          <a:extLst>
            <a:ext uri="{FF2B5EF4-FFF2-40B4-BE49-F238E27FC236}">
              <a16:creationId xmlns:a16="http://schemas.microsoft.com/office/drawing/2014/main" id="{51DDD3B2-AAAF-47DA-A5F1-B93A10B09AF2}"/>
            </a:ext>
          </a:extLst>
        </xdr:cNvPr>
        <xdr:cNvSpPr/>
      </xdr:nvSpPr>
      <xdr:spPr>
        <a:xfrm>
          <a:off x="3359413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57</a:t>
          </a:r>
        </a:p>
      </xdr:txBody>
    </xdr:sp>
    <xdr:clientData/>
  </xdr:twoCellAnchor>
  <xdr:twoCellAnchor>
    <xdr:from>
      <xdr:col>40</xdr:col>
      <xdr:colOff>44347</xdr:colOff>
      <xdr:row>36</xdr:row>
      <xdr:rowOff>76200</xdr:rowOff>
    </xdr:from>
    <xdr:to>
      <xdr:col>45</xdr:col>
      <xdr:colOff>13537</xdr:colOff>
      <xdr:row>42</xdr:row>
      <xdr:rowOff>19050</xdr:rowOff>
    </xdr:to>
    <xdr:sp macro="" textlink="">
      <xdr:nvSpPr>
        <xdr:cNvPr id="60" name="Tile58">
          <a:extLst>
            <a:ext uri="{FF2B5EF4-FFF2-40B4-BE49-F238E27FC236}">
              <a16:creationId xmlns:a16="http://schemas.microsoft.com/office/drawing/2014/main" id="{00A8A7F9-0172-4B91-8A8E-2FA6B7EE3B1D}"/>
            </a:ext>
          </a:extLst>
        </xdr:cNvPr>
        <xdr:cNvSpPr/>
      </xdr:nvSpPr>
      <xdr:spPr>
        <a:xfrm>
          <a:off x="3854347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58</a:t>
          </a:r>
        </a:p>
      </xdr:txBody>
    </xdr:sp>
    <xdr:clientData/>
  </xdr:twoCellAnchor>
  <xdr:twoCellAnchor>
    <xdr:from>
      <xdr:col>45</xdr:col>
      <xdr:colOff>63030</xdr:colOff>
      <xdr:row>36</xdr:row>
      <xdr:rowOff>76200</xdr:rowOff>
    </xdr:from>
    <xdr:to>
      <xdr:col>50</xdr:col>
      <xdr:colOff>32220</xdr:colOff>
      <xdr:row>42</xdr:row>
      <xdr:rowOff>19050</xdr:rowOff>
    </xdr:to>
    <xdr:sp macro="" textlink="">
      <xdr:nvSpPr>
        <xdr:cNvPr id="61" name="Tile59">
          <a:extLst>
            <a:ext uri="{FF2B5EF4-FFF2-40B4-BE49-F238E27FC236}">
              <a16:creationId xmlns:a16="http://schemas.microsoft.com/office/drawing/2014/main" id="{E559ADDB-DEEF-43B5-B8ED-7898D9A17F65}"/>
            </a:ext>
          </a:extLst>
        </xdr:cNvPr>
        <xdr:cNvSpPr/>
      </xdr:nvSpPr>
      <xdr:spPr>
        <a:xfrm>
          <a:off x="4349280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59</a:t>
          </a:r>
        </a:p>
      </xdr:txBody>
    </xdr:sp>
    <xdr:clientData/>
  </xdr:twoCellAnchor>
  <xdr:twoCellAnchor>
    <xdr:from>
      <xdr:col>50</xdr:col>
      <xdr:colOff>81714</xdr:colOff>
      <xdr:row>36</xdr:row>
      <xdr:rowOff>76200</xdr:rowOff>
    </xdr:from>
    <xdr:to>
      <xdr:col>55</xdr:col>
      <xdr:colOff>50904</xdr:colOff>
      <xdr:row>42</xdr:row>
      <xdr:rowOff>19050</xdr:rowOff>
    </xdr:to>
    <xdr:sp macro="" textlink="">
      <xdr:nvSpPr>
        <xdr:cNvPr id="62" name="Tile60">
          <a:extLst>
            <a:ext uri="{FF2B5EF4-FFF2-40B4-BE49-F238E27FC236}">
              <a16:creationId xmlns:a16="http://schemas.microsoft.com/office/drawing/2014/main" id="{A5996F42-80A5-400F-80D6-6CD028C4B73E}"/>
            </a:ext>
          </a:extLst>
        </xdr:cNvPr>
        <xdr:cNvSpPr/>
      </xdr:nvSpPr>
      <xdr:spPr>
        <a:xfrm>
          <a:off x="4844214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60</a:t>
          </a:r>
        </a:p>
      </xdr:txBody>
    </xdr:sp>
    <xdr:clientData/>
  </xdr:twoCellAnchor>
  <xdr:twoCellAnchor>
    <xdr:from>
      <xdr:col>56</xdr:col>
      <xdr:colOff>5147</xdr:colOff>
      <xdr:row>36</xdr:row>
      <xdr:rowOff>76200</xdr:rowOff>
    </xdr:from>
    <xdr:to>
      <xdr:col>60</xdr:col>
      <xdr:colOff>69587</xdr:colOff>
      <xdr:row>42</xdr:row>
      <xdr:rowOff>19050</xdr:rowOff>
    </xdr:to>
    <xdr:sp macro="" textlink="">
      <xdr:nvSpPr>
        <xdr:cNvPr id="63" name="Tile61">
          <a:extLst>
            <a:ext uri="{FF2B5EF4-FFF2-40B4-BE49-F238E27FC236}">
              <a16:creationId xmlns:a16="http://schemas.microsoft.com/office/drawing/2014/main" id="{DE4A18A4-B03D-4AD1-80B4-4C421F0BC403}"/>
            </a:ext>
          </a:extLst>
        </xdr:cNvPr>
        <xdr:cNvSpPr/>
      </xdr:nvSpPr>
      <xdr:spPr>
        <a:xfrm>
          <a:off x="5339147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61</a:t>
          </a:r>
        </a:p>
      </xdr:txBody>
    </xdr:sp>
    <xdr:clientData/>
  </xdr:twoCellAnchor>
  <xdr:twoCellAnchor>
    <xdr:from>
      <xdr:col>61</xdr:col>
      <xdr:colOff>23831</xdr:colOff>
      <xdr:row>36</xdr:row>
      <xdr:rowOff>76200</xdr:rowOff>
    </xdr:from>
    <xdr:to>
      <xdr:col>65</xdr:col>
      <xdr:colOff>88271</xdr:colOff>
      <xdr:row>42</xdr:row>
      <xdr:rowOff>19050</xdr:rowOff>
    </xdr:to>
    <xdr:sp macro="" textlink="">
      <xdr:nvSpPr>
        <xdr:cNvPr id="64" name="Tile62">
          <a:extLst>
            <a:ext uri="{FF2B5EF4-FFF2-40B4-BE49-F238E27FC236}">
              <a16:creationId xmlns:a16="http://schemas.microsoft.com/office/drawing/2014/main" id="{2C957A5B-691E-4218-BA5A-0AA8DE3FCD45}"/>
            </a:ext>
          </a:extLst>
        </xdr:cNvPr>
        <xdr:cNvSpPr/>
      </xdr:nvSpPr>
      <xdr:spPr>
        <a:xfrm>
          <a:off x="5834081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62</a:t>
          </a:r>
        </a:p>
      </xdr:txBody>
    </xdr:sp>
    <xdr:clientData/>
  </xdr:twoCellAnchor>
  <xdr:twoCellAnchor>
    <xdr:from>
      <xdr:col>66</xdr:col>
      <xdr:colOff>42514</xdr:colOff>
      <xdr:row>36</xdr:row>
      <xdr:rowOff>76200</xdr:rowOff>
    </xdr:from>
    <xdr:to>
      <xdr:col>71</xdr:col>
      <xdr:colOff>11704</xdr:colOff>
      <xdr:row>42</xdr:row>
      <xdr:rowOff>19050</xdr:rowOff>
    </xdr:to>
    <xdr:sp macro="" textlink="">
      <xdr:nvSpPr>
        <xdr:cNvPr id="65" name="Tile63">
          <a:extLst>
            <a:ext uri="{FF2B5EF4-FFF2-40B4-BE49-F238E27FC236}">
              <a16:creationId xmlns:a16="http://schemas.microsoft.com/office/drawing/2014/main" id="{2908148A-58B2-4810-BD77-753F4F4161FC}"/>
            </a:ext>
          </a:extLst>
        </xdr:cNvPr>
        <xdr:cNvSpPr/>
      </xdr:nvSpPr>
      <xdr:spPr>
        <a:xfrm>
          <a:off x="6329014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63</a:t>
          </a:r>
        </a:p>
      </xdr:txBody>
    </xdr:sp>
    <xdr:clientData/>
  </xdr:twoCellAnchor>
  <xdr:twoCellAnchor>
    <xdr:from>
      <xdr:col>27</xdr:col>
      <xdr:colOff>45263</xdr:colOff>
      <xdr:row>41</xdr:row>
      <xdr:rowOff>28575</xdr:rowOff>
    </xdr:from>
    <xdr:to>
      <xdr:col>32</xdr:col>
      <xdr:colOff>14453</xdr:colOff>
      <xdr:row>46</xdr:row>
      <xdr:rowOff>66675</xdr:rowOff>
    </xdr:to>
    <xdr:sp macro="" textlink="">
      <xdr:nvSpPr>
        <xdr:cNvPr id="66" name="Tile64">
          <a:extLst>
            <a:ext uri="{FF2B5EF4-FFF2-40B4-BE49-F238E27FC236}">
              <a16:creationId xmlns:a16="http://schemas.microsoft.com/office/drawing/2014/main" id="{0F553AFB-8B5E-47B2-8FC6-0D3D734317C2}"/>
            </a:ext>
          </a:extLst>
        </xdr:cNvPr>
        <xdr:cNvSpPr/>
      </xdr:nvSpPr>
      <xdr:spPr>
        <a:xfrm>
          <a:off x="2617013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64</a:t>
          </a:r>
        </a:p>
      </xdr:txBody>
    </xdr:sp>
    <xdr:clientData/>
  </xdr:twoCellAnchor>
  <xdr:twoCellAnchor>
    <xdr:from>
      <xdr:col>32</xdr:col>
      <xdr:colOff>63946</xdr:colOff>
      <xdr:row>41</xdr:row>
      <xdr:rowOff>28575</xdr:rowOff>
    </xdr:from>
    <xdr:to>
      <xdr:col>37</xdr:col>
      <xdr:colOff>33136</xdr:colOff>
      <xdr:row>46</xdr:row>
      <xdr:rowOff>66675</xdr:rowOff>
    </xdr:to>
    <xdr:sp macro="" textlink="">
      <xdr:nvSpPr>
        <xdr:cNvPr id="67" name="Tile65">
          <a:extLst>
            <a:ext uri="{FF2B5EF4-FFF2-40B4-BE49-F238E27FC236}">
              <a16:creationId xmlns:a16="http://schemas.microsoft.com/office/drawing/2014/main" id="{602CD318-06B2-4D4C-929E-4E41CE442E29}"/>
            </a:ext>
          </a:extLst>
        </xdr:cNvPr>
        <xdr:cNvSpPr/>
      </xdr:nvSpPr>
      <xdr:spPr>
        <a:xfrm>
          <a:off x="3111946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65</a:t>
          </a:r>
        </a:p>
      </xdr:txBody>
    </xdr:sp>
    <xdr:clientData/>
  </xdr:twoCellAnchor>
  <xdr:twoCellAnchor>
    <xdr:from>
      <xdr:col>37</xdr:col>
      <xdr:colOff>82630</xdr:colOff>
      <xdr:row>41</xdr:row>
      <xdr:rowOff>28575</xdr:rowOff>
    </xdr:from>
    <xdr:to>
      <xdr:col>42</xdr:col>
      <xdr:colOff>51820</xdr:colOff>
      <xdr:row>46</xdr:row>
      <xdr:rowOff>66675</xdr:rowOff>
    </xdr:to>
    <xdr:sp macro="" textlink="">
      <xdr:nvSpPr>
        <xdr:cNvPr id="68" name="Tile66">
          <a:extLst>
            <a:ext uri="{FF2B5EF4-FFF2-40B4-BE49-F238E27FC236}">
              <a16:creationId xmlns:a16="http://schemas.microsoft.com/office/drawing/2014/main" id="{76F365A3-18D2-4201-B532-AF428D42B3D8}"/>
            </a:ext>
          </a:extLst>
        </xdr:cNvPr>
        <xdr:cNvSpPr/>
      </xdr:nvSpPr>
      <xdr:spPr>
        <a:xfrm>
          <a:off x="3606880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66</a:t>
          </a:r>
        </a:p>
      </xdr:txBody>
    </xdr:sp>
    <xdr:clientData/>
  </xdr:twoCellAnchor>
  <xdr:twoCellAnchor>
    <xdr:from>
      <xdr:col>43</xdr:col>
      <xdr:colOff>6063</xdr:colOff>
      <xdr:row>41</xdr:row>
      <xdr:rowOff>28575</xdr:rowOff>
    </xdr:from>
    <xdr:to>
      <xdr:col>47</xdr:col>
      <xdr:colOff>70503</xdr:colOff>
      <xdr:row>46</xdr:row>
      <xdr:rowOff>66675</xdr:rowOff>
    </xdr:to>
    <xdr:sp macro="" textlink="">
      <xdr:nvSpPr>
        <xdr:cNvPr id="69" name="Tile67">
          <a:extLst>
            <a:ext uri="{FF2B5EF4-FFF2-40B4-BE49-F238E27FC236}">
              <a16:creationId xmlns:a16="http://schemas.microsoft.com/office/drawing/2014/main" id="{E9D78136-A674-4EF2-950B-F01A13D0E048}"/>
            </a:ext>
          </a:extLst>
        </xdr:cNvPr>
        <xdr:cNvSpPr/>
      </xdr:nvSpPr>
      <xdr:spPr>
        <a:xfrm>
          <a:off x="4101813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67</a:t>
          </a:r>
        </a:p>
      </xdr:txBody>
    </xdr:sp>
    <xdr:clientData/>
  </xdr:twoCellAnchor>
  <xdr:twoCellAnchor>
    <xdr:from>
      <xdr:col>48</xdr:col>
      <xdr:colOff>24747</xdr:colOff>
      <xdr:row>41</xdr:row>
      <xdr:rowOff>28575</xdr:rowOff>
    </xdr:from>
    <xdr:to>
      <xdr:col>52</xdr:col>
      <xdr:colOff>89187</xdr:colOff>
      <xdr:row>46</xdr:row>
      <xdr:rowOff>66675</xdr:rowOff>
    </xdr:to>
    <xdr:sp macro="" textlink="">
      <xdr:nvSpPr>
        <xdr:cNvPr id="70" name="Tile68">
          <a:extLst>
            <a:ext uri="{FF2B5EF4-FFF2-40B4-BE49-F238E27FC236}">
              <a16:creationId xmlns:a16="http://schemas.microsoft.com/office/drawing/2014/main" id="{12201C9A-CE60-4D35-A3C3-86DAA389A62D}"/>
            </a:ext>
          </a:extLst>
        </xdr:cNvPr>
        <xdr:cNvSpPr/>
      </xdr:nvSpPr>
      <xdr:spPr>
        <a:xfrm>
          <a:off x="4596747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68</a:t>
          </a:r>
        </a:p>
      </xdr:txBody>
    </xdr:sp>
    <xdr:clientData/>
  </xdr:twoCellAnchor>
  <xdr:twoCellAnchor>
    <xdr:from>
      <xdr:col>53</xdr:col>
      <xdr:colOff>43430</xdr:colOff>
      <xdr:row>41</xdr:row>
      <xdr:rowOff>28575</xdr:rowOff>
    </xdr:from>
    <xdr:to>
      <xdr:col>58</xdr:col>
      <xdr:colOff>12620</xdr:colOff>
      <xdr:row>46</xdr:row>
      <xdr:rowOff>66675</xdr:rowOff>
    </xdr:to>
    <xdr:sp macro="" textlink="">
      <xdr:nvSpPr>
        <xdr:cNvPr id="71" name="Tile69">
          <a:extLst>
            <a:ext uri="{FF2B5EF4-FFF2-40B4-BE49-F238E27FC236}">
              <a16:creationId xmlns:a16="http://schemas.microsoft.com/office/drawing/2014/main" id="{3F039C64-C147-42B8-9B97-B78E1100372F}"/>
            </a:ext>
          </a:extLst>
        </xdr:cNvPr>
        <xdr:cNvSpPr/>
      </xdr:nvSpPr>
      <xdr:spPr>
        <a:xfrm>
          <a:off x="5091680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69</a:t>
          </a:r>
        </a:p>
      </xdr:txBody>
    </xdr:sp>
    <xdr:clientData/>
  </xdr:twoCellAnchor>
  <xdr:twoCellAnchor>
    <xdr:from>
      <xdr:col>58</xdr:col>
      <xdr:colOff>62114</xdr:colOff>
      <xdr:row>41</xdr:row>
      <xdr:rowOff>28575</xdr:rowOff>
    </xdr:from>
    <xdr:to>
      <xdr:col>63</xdr:col>
      <xdr:colOff>31304</xdr:colOff>
      <xdr:row>46</xdr:row>
      <xdr:rowOff>66675</xdr:rowOff>
    </xdr:to>
    <xdr:sp macro="" textlink="">
      <xdr:nvSpPr>
        <xdr:cNvPr id="72" name="Tile70">
          <a:extLst>
            <a:ext uri="{FF2B5EF4-FFF2-40B4-BE49-F238E27FC236}">
              <a16:creationId xmlns:a16="http://schemas.microsoft.com/office/drawing/2014/main" id="{74B7D8E0-C8EC-437E-979F-2554506F480C}"/>
            </a:ext>
          </a:extLst>
        </xdr:cNvPr>
        <xdr:cNvSpPr/>
      </xdr:nvSpPr>
      <xdr:spPr>
        <a:xfrm>
          <a:off x="5586614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70</a:t>
          </a:r>
        </a:p>
      </xdr:txBody>
    </xdr:sp>
    <xdr:clientData/>
  </xdr:twoCellAnchor>
  <xdr:twoCellAnchor>
    <xdr:from>
      <xdr:col>63</xdr:col>
      <xdr:colOff>80797</xdr:colOff>
      <xdr:row>41</xdr:row>
      <xdr:rowOff>28575</xdr:rowOff>
    </xdr:from>
    <xdr:to>
      <xdr:col>68</xdr:col>
      <xdr:colOff>49987</xdr:colOff>
      <xdr:row>46</xdr:row>
      <xdr:rowOff>66675</xdr:rowOff>
    </xdr:to>
    <xdr:sp macro="" textlink="">
      <xdr:nvSpPr>
        <xdr:cNvPr id="73" name="Tile71">
          <a:extLst>
            <a:ext uri="{FF2B5EF4-FFF2-40B4-BE49-F238E27FC236}">
              <a16:creationId xmlns:a16="http://schemas.microsoft.com/office/drawing/2014/main" id="{4A012579-44CE-4B3C-8361-17531BF095AA}"/>
            </a:ext>
          </a:extLst>
        </xdr:cNvPr>
        <xdr:cNvSpPr/>
      </xdr:nvSpPr>
      <xdr:spPr>
        <a:xfrm>
          <a:off x="6081547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71</a:t>
          </a:r>
        </a:p>
      </xdr:txBody>
    </xdr:sp>
    <xdr:clientData/>
  </xdr:twoCellAnchor>
  <xdr:twoCellAnchor>
    <xdr:from>
      <xdr:col>30</xdr:col>
      <xdr:colOff>6979</xdr:colOff>
      <xdr:row>45</xdr:row>
      <xdr:rowOff>76200</xdr:rowOff>
    </xdr:from>
    <xdr:to>
      <xdr:col>34</xdr:col>
      <xdr:colOff>71419</xdr:colOff>
      <xdr:row>51</xdr:row>
      <xdr:rowOff>19050</xdr:rowOff>
    </xdr:to>
    <xdr:sp macro="" textlink="">
      <xdr:nvSpPr>
        <xdr:cNvPr id="74" name="Tile72">
          <a:extLst>
            <a:ext uri="{FF2B5EF4-FFF2-40B4-BE49-F238E27FC236}">
              <a16:creationId xmlns:a16="http://schemas.microsoft.com/office/drawing/2014/main" id="{B86BEBA1-D8A8-4DD3-8995-44D3B2B6C664}"/>
            </a:ext>
          </a:extLst>
        </xdr:cNvPr>
        <xdr:cNvSpPr/>
      </xdr:nvSpPr>
      <xdr:spPr>
        <a:xfrm>
          <a:off x="2864479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72</a:t>
          </a:r>
        </a:p>
      </xdr:txBody>
    </xdr:sp>
    <xdr:clientData/>
  </xdr:twoCellAnchor>
  <xdr:twoCellAnchor>
    <xdr:from>
      <xdr:col>35</xdr:col>
      <xdr:colOff>25663</xdr:colOff>
      <xdr:row>45</xdr:row>
      <xdr:rowOff>76200</xdr:rowOff>
    </xdr:from>
    <xdr:to>
      <xdr:col>39</xdr:col>
      <xdr:colOff>90103</xdr:colOff>
      <xdr:row>51</xdr:row>
      <xdr:rowOff>19050</xdr:rowOff>
    </xdr:to>
    <xdr:sp macro="" textlink="">
      <xdr:nvSpPr>
        <xdr:cNvPr id="75" name="Tile73">
          <a:extLst>
            <a:ext uri="{FF2B5EF4-FFF2-40B4-BE49-F238E27FC236}">
              <a16:creationId xmlns:a16="http://schemas.microsoft.com/office/drawing/2014/main" id="{C3CAA460-47FC-46B4-98EA-64CB1E96B47C}"/>
            </a:ext>
          </a:extLst>
        </xdr:cNvPr>
        <xdr:cNvSpPr/>
      </xdr:nvSpPr>
      <xdr:spPr>
        <a:xfrm>
          <a:off x="3359413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73</a:t>
          </a:r>
        </a:p>
      </xdr:txBody>
    </xdr:sp>
    <xdr:clientData/>
  </xdr:twoCellAnchor>
  <xdr:twoCellAnchor>
    <xdr:from>
      <xdr:col>40</xdr:col>
      <xdr:colOff>44347</xdr:colOff>
      <xdr:row>45</xdr:row>
      <xdr:rowOff>76200</xdr:rowOff>
    </xdr:from>
    <xdr:to>
      <xdr:col>45</xdr:col>
      <xdr:colOff>13537</xdr:colOff>
      <xdr:row>51</xdr:row>
      <xdr:rowOff>19050</xdr:rowOff>
    </xdr:to>
    <xdr:sp macro="" textlink="">
      <xdr:nvSpPr>
        <xdr:cNvPr id="76" name="Tile74">
          <a:extLst>
            <a:ext uri="{FF2B5EF4-FFF2-40B4-BE49-F238E27FC236}">
              <a16:creationId xmlns:a16="http://schemas.microsoft.com/office/drawing/2014/main" id="{6F4D3474-F290-42FB-8000-8E6C69FFD4B4}"/>
            </a:ext>
          </a:extLst>
        </xdr:cNvPr>
        <xdr:cNvSpPr/>
      </xdr:nvSpPr>
      <xdr:spPr>
        <a:xfrm>
          <a:off x="3854347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74</a:t>
          </a:r>
        </a:p>
      </xdr:txBody>
    </xdr:sp>
    <xdr:clientData/>
  </xdr:twoCellAnchor>
  <xdr:twoCellAnchor>
    <xdr:from>
      <xdr:col>45</xdr:col>
      <xdr:colOff>63030</xdr:colOff>
      <xdr:row>45</xdr:row>
      <xdr:rowOff>76200</xdr:rowOff>
    </xdr:from>
    <xdr:to>
      <xdr:col>50</xdr:col>
      <xdr:colOff>32220</xdr:colOff>
      <xdr:row>51</xdr:row>
      <xdr:rowOff>19050</xdr:rowOff>
    </xdr:to>
    <xdr:sp macro="" textlink="">
      <xdr:nvSpPr>
        <xdr:cNvPr id="77" name="Tile75">
          <a:extLst>
            <a:ext uri="{FF2B5EF4-FFF2-40B4-BE49-F238E27FC236}">
              <a16:creationId xmlns:a16="http://schemas.microsoft.com/office/drawing/2014/main" id="{E082012B-2923-4A43-B9A5-D05C64AAB973}"/>
            </a:ext>
          </a:extLst>
        </xdr:cNvPr>
        <xdr:cNvSpPr/>
      </xdr:nvSpPr>
      <xdr:spPr>
        <a:xfrm>
          <a:off x="4349280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75</a:t>
          </a:r>
        </a:p>
      </xdr:txBody>
    </xdr:sp>
    <xdr:clientData/>
  </xdr:twoCellAnchor>
  <xdr:twoCellAnchor>
    <xdr:from>
      <xdr:col>50</xdr:col>
      <xdr:colOff>81714</xdr:colOff>
      <xdr:row>45</xdr:row>
      <xdr:rowOff>76200</xdr:rowOff>
    </xdr:from>
    <xdr:to>
      <xdr:col>55</xdr:col>
      <xdr:colOff>50904</xdr:colOff>
      <xdr:row>51</xdr:row>
      <xdr:rowOff>19050</xdr:rowOff>
    </xdr:to>
    <xdr:sp macro="" textlink="">
      <xdr:nvSpPr>
        <xdr:cNvPr id="78" name="Tile76">
          <a:extLst>
            <a:ext uri="{FF2B5EF4-FFF2-40B4-BE49-F238E27FC236}">
              <a16:creationId xmlns:a16="http://schemas.microsoft.com/office/drawing/2014/main" id="{D0563F46-47DD-4C52-BDCB-5DFAF384A4E9}"/>
            </a:ext>
          </a:extLst>
        </xdr:cNvPr>
        <xdr:cNvSpPr/>
      </xdr:nvSpPr>
      <xdr:spPr>
        <a:xfrm>
          <a:off x="4844214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76</a:t>
          </a:r>
        </a:p>
      </xdr:txBody>
    </xdr:sp>
    <xdr:clientData/>
  </xdr:twoCellAnchor>
  <xdr:twoCellAnchor>
    <xdr:from>
      <xdr:col>56</xdr:col>
      <xdr:colOff>5147</xdr:colOff>
      <xdr:row>45</xdr:row>
      <xdr:rowOff>76200</xdr:rowOff>
    </xdr:from>
    <xdr:to>
      <xdr:col>60</xdr:col>
      <xdr:colOff>69587</xdr:colOff>
      <xdr:row>51</xdr:row>
      <xdr:rowOff>19050</xdr:rowOff>
    </xdr:to>
    <xdr:sp macro="" textlink="">
      <xdr:nvSpPr>
        <xdr:cNvPr id="79" name="Tile77">
          <a:extLst>
            <a:ext uri="{FF2B5EF4-FFF2-40B4-BE49-F238E27FC236}">
              <a16:creationId xmlns:a16="http://schemas.microsoft.com/office/drawing/2014/main" id="{CEC09088-2E5F-4EF4-BA31-1D09753524C1}"/>
            </a:ext>
          </a:extLst>
        </xdr:cNvPr>
        <xdr:cNvSpPr/>
      </xdr:nvSpPr>
      <xdr:spPr>
        <a:xfrm>
          <a:off x="5339147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77</a:t>
          </a:r>
        </a:p>
      </xdr:txBody>
    </xdr:sp>
    <xdr:clientData/>
  </xdr:twoCellAnchor>
  <xdr:twoCellAnchor>
    <xdr:from>
      <xdr:col>61</xdr:col>
      <xdr:colOff>23831</xdr:colOff>
      <xdr:row>45</xdr:row>
      <xdr:rowOff>76200</xdr:rowOff>
    </xdr:from>
    <xdr:to>
      <xdr:col>65</xdr:col>
      <xdr:colOff>88271</xdr:colOff>
      <xdr:row>51</xdr:row>
      <xdr:rowOff>19050</xdr:rowOff>
    </xdr:to>
    <xdr:sp macro="" textlink="">
      <xdr:nvSpPr>
        <xdr:cNvPr id="80" name="Tile78">
          <a:extLst>
            <a:ext uri="{FF2B5EF4-FFF2-40B4-BE49-F238E27FC236}">
              <a16:creationId xmlns:a16="http://schemas.microsoft.com/office/drawing/2014/main" id="{AEA086B7-4052-4B9F-A349-3E9CF898AC48}"/>
            </a:ext>
          </a:extLst>
        </xdr:cNvPr>
        <xdr:cNvSpPr/>
      </xdr:nvSpPr>
      <xdr:spPr>
        <a:xfrm>
          <a:off x="5834081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78</a:t>
          </a:r>
        </a:p>
      </xdr:txBody>
    </xdr:sp>
    <xdr:clientData/>
  </xdr:twoCellAnchor>
  <xdr:twoCellAnchor>
    <xdr:from>
      <xdr:col>38</xdr:col>
      <xdr:colOff>0</xdr:colOff>
      <xdr:row>2</xdr:row>
      <xdr:rowOff>0</xdr:rowOff>
    </xdr:from>
    <xdr:to>
      <xdr:col>52</xdr:col>
      <xdr:colOff>0</xdr:colOff>
      <xdr:row>5</xdr:row>
      <xdr:rowOff>0</xdr:rowOff>
    </xdr:to>
    <xdr:sp macro="[0]!export_level.export_level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3D1877FE-E70E-4E21-9DBB-DF6A7137F99B}"/>
            </a:ext>
          </a:extLst>
        </xdr:cNvPr>
        <xdr:cNvSpPr/>
      </xdr:nvSpPr>
      <xdr:spPr>
        <a:xfrm>
          <a:off x="3619500" y="190500"/>
          <a:ext cx="13335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6979</xdr:colOff>
      <xdr:row>9</xdr:row>
      <xdr:rowOff>76200</xdr:rowOff>
    </xdr:from>
    <xdr:to>
      <xdr:col>34</xdr:col>
      <xdr:colOff>71419</xdr:colOff>
      <xdr:row>15</xdr:row>
      <xdr:rowOff>19050</xdr:rowOff>
    </xdr:to>
    <xdr:sp macro="" textlink="">
      <xdr:nvSpPr>
        <xdr:cNvPr id="2" name="Tile0">
          <a:extLst>
            <a:ext uri="{FF2B5EF4-FFF2-40B4-BE49-F238E27FC236}">
              <a16:creationId xmlns:a16="http://schemas.microsoft.com/office/drawing/2014/main" id="{27453029-AF7B-494F-BDB7-EDAF3908EA50}"/>
            </a:ext>
          </a:extLst>
        </xdr:cNvPr>
        <xdr:cNvSpPr/>
      </xdr:nvSpPr>
      <xdr:spPr>
        <a:xfrm>
          <a:off x="2864479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rgbClr val="FFFF00"/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0</a:t>
          </a:r>
        </a:p>
      </xdr:txBody>
    </xdr:sp>
    <xdr:clientData/>
  </xdr:twoCellAnchor>
  <xdr:twoCellAnchor>
    <xdr:from>
      <xdr:col>35</xdr:col>
      <xdr:colOff>25663</xdr:colOff>
      <xdr:row>9</xdr:row>
      <xdr:rowOff>76200</xdr:rowOff>
    </xdr:from>
    <xdr:to>
      <xdr:col>39</xdr:col>
      <xdr:colOff>90103</xdr:colOff>
      <xdr:row>15</xdr:row>
      <xdr:rowOff>19050</xdr:rowOff>
    </xdr:to>
    <xdr:sp macro="" textlink="">
      <xdr:nvSpPr>
        <xdr:cNvPr id="3" name="Tile1">
          <a:extLst>
            <a:ext uri="{FF2B5EF4-FFF2-40B4-BE49-F238E27FC236}">
              <a16:creationId xmlns:a16="http://schemas.microsoft.com/office/drawing/2014/main" id="{BBD46EA8-6BCD-4C0B-8591-EDFBEA98130F}"/>
            </a:ext>
          </a:extLst>
        </xdr:cNvPr>
        <xdr:cNvSpPr/>
      </xdr:nvSpPr>
      <xdr:spPr>
        <a:xfrm>
          <a:off x="3359413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</a:t>
          </a:r>
        </a:p>
      </xdr:txBody>
    </xdr:sp>
    <xdr:clientData/>
  </xdr:twoCellAnchor>
  <xdr:twoCellAnchor>
    <xdr:from>
      <xdr:col>40</xdr:col>
      <xdr:colOff>44347</xdr:colOff>
      <xdr:row>9</xdr:row>
      <xdr:rowOff>76200</xdr:rowOff>
    </xdr:from>
    <xdr:to>
      <xdr:col>45</xdr:col>
      <xdr:colOff>13537</xdr:colOff>
      <xdr:row>15</xdr:row>
      <xdr:rowOff>19050</xdr:rowOff>
    </xdr:to>
    <xdr:sp macro="" textlink="">
      <xdr:nvSpPr>
        <xdr:cNvPr id="4" name="Tile2">
          <a:extLst>
            <a:ext uri="{FF2B5EF4-FFF2-40B4-BE49-F238E27FC236}">
              <a16:creationId xmlns:a16="http://schemas.microsoft.com/office/drawing/2014/main" id="{ED8E4643-AFB7-47BB-A708-502CFD7AF44B}"/>
            </a:ext>
          </a:extLst>
        </xdr:cNvPr>
        <xdr:cNvSpPr/>
      </xdr:nvSpPr>
      <xdr:spPr>
        <a:xfrm>
          <a:off x="3854347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</a:t>
          </a:r>
        </a:p>
      </xdr:txBody>
    </xdr:sp>
    <xdr:clientData/>
  </xdr:twoCellAnchor>
  <xdr:twoCellAnchor>
    <xdr:from>
      <xdr:col>45</xdr:col>
      <xdr:colOff>63030</xdr:colOff>
      <xdr:row>9</xdr:row>
      <xdr:rowOff>76200</xdr:rowOff>
    </xdr:from>
    <xdr:to>
      <xdr:col>50</xdr:col>
      <xdr:colOff>32220</xdr:colOff>
      <xdr:row>15</xdr:row>
      <xdr:rowOff>19050</xdr:rowOff>
    </xdr:to>
    <xdr:sp macro="" textlink="">
      <xdr:nvSpPr>
        <xdr:cNvPr id="5" name="Tile3">
          <a:extLst>
            <a:ext uri="{FF2B5EF4-FFF2-40B4-BE49-F238E27FC236}">
              <a16:creationId xmlns:a16="http://schemas.microsoft.com/office/drawing/2014/main" id="{84075620-6FC8-46ED-892A-3C3EC2E99DBC}"/>
            </a:ext>
          </a:extLst>
        </xdr:cNvPr>
        <xdr:cNvSpPr/>
      </xdr:nvSpPr>
      <xdr:spPr>
        <a:xfrm>
          <a:off x="4349280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</a:t>
          </a:r>
        </a:p>
      </xdr:txBody>
    </xdr:sp>
    <xdr:clientData/>
  </xdr:twoCellAnchor>
  <xdr:twoCellAnchor>
    <xdr:from>
      <xdr:col>50</xdr:col>
      <xdr:colOff>81714</xdr:colOff>
      <xdr:row>9</xdr:row>
      <xdr:rowOff>76200</xdr:rowOff>
    </xdr:from>
    <xdr:to>
      <xdr:col>55</xdr:col>
      <xdr:colOff>50904</xdr:colOff>
      <xdr:row>15</xdr:row>
      <xdr:rowOff>19050</xdr:rowOff>
    </xdr:to>
    <xdr:sp macro="" textlink="">
      <xdr:nvSpPr>
        <xdr:cNvPr id="6" name="Tile4">
          <a:extLst>
            <a:ext uri="{FF2B5EF4-FFF2-40B4-BE49-F238E27FC236}">
              <a16:creationId xmlns:a16="http://schemas.microsoft.com/office/drawing/2014/main" id="{ABE3B826-3D18-47C6-9E2B-BA77333663F5}"/>
            </a:ext>
          </a:extLst>
        </xdr:cNvPr>
        <xdr:cNvSpPr/>
      </xdr:nvSpPr>
      <xdr:spPr>
        <a:xfrm>
          <a:off x="4844214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</a:t>
          </a:r>
        </a:p>
      </xdr:txBody>
    </xdr:sp>
    <xdr:clientData/>
  </xdr:twoCellAnchor>
  <xdr:twoCellAnchor>
    <xdr:from>
      <xdr:col>56</xdr:col>
      <xdr:colOff>5147</xdr:colOff>
      <xdr:row>9</xdr:row>
      <xdr:rowOff>76200</xdr:rowOff>
    </xdr:from>
    <xdr:to>
      <xdr:col>60</xdr:col>
      <xdr:colOff>69587</xdr:colOff>
      <xdr:row>15</xdr:row>
      <xdr:rowOff>19050</xdr:rowOff>
    </xdr:to>
    <xdr:sp macro="" textlink="">
      <xdr:nvSpPr>
        <xdr:cNvPr id="7" name="Tile5">
          <a:extLst>
            <a:ext uri="{FF2B5EF4-FFF2-40B4-BE49-F238E27FC236}">
              <a16:creationId xmlns:a16="http://schemas.microsoft.com/office/drawing/2014/main" id="{10B0CD43-1F2C-44DD-8BD4-2C0603B2C486}"/>
            </a:ext>
          </a:extLst>
        </xdr:cNvPr>
        <xdr:cNvSpPr/>
      </xdr:nvSpPr>
      <xdr:spPr>
        <a:xfrm>
          <a:off x="5339147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</a:t>
          </a:r>
        </a:p>
      </xdr:txBody>
    </xdr:sp>
    <xdr:clientData/>
  </xdr:twoCellAnchor>
  <xdr:twoCellAnchor>
    <xdr:from>
      <xdr:col>61</xdr:col>
      <xdr:colOff>23831</xdr:colOff>
      <xdr:row>9</xdr:row>
      <xdr:rowOff>76200</xdr:rowOff>
    </xdr:from>
    <xdr:to>
      <xdr:col>65</xdr:col>
      <xdr:colOff>88271</xdr:colOff>
      <xdr:row>15</xdr:row>
      <xdr:rowOff>19050</xdr:rowOff>
    </xdr:to>
    <xdr:sp macro="" textlink="">
      <xdr:nvSpPr>
        <xdr:cNvPr id="8" name="Tile6">
          <a:extLst>
            <a:ext uri="{FF2B5EF4-FFF2-40B4-BE49-F238E27FC236}">
              <a16:creationId xmlns:a16="http://schemas.microsoft.com/office/drawing/2014/main" id="{96650967-56F9-432F-B6BA-D612E378000F}"/>
            </a:ext>
          </a:extLst>
        </xdr:cNvPr>
        <xdr:cNvSpPr/>
      </xdr:nvSpPr>
      <xdr:spPr>
        <a:xfrm>
          <a:off x="5834081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</a:t>
          </a:r>
        </a:p>
      </xdr:txBody>
    </xdr:sp>
    <xdr:clientData/>
  </xdr:twoCellAnchor>
  <xdr:twoCellAnchor>
    <xdr:from>
      <xdr:col>27</xdr:col>
      <xdr:colOff>45263</xdr:colOff>
      <xdr:row>14</xdr:row>
      <xdr:rowOff>28575</xdr:rowOff>
    </xdr:from>
    <xdr:to>
      <xdr:col>32</xdr:col>
      <xdr:colOff>14453</xdr:colOff>
      <xdr:row>19</xdr:row>
      <xdr:rowOff>66675</xdr:rowOff>
    </xdr:to>
    <xdr:sp macro="" textlink="">
      <xdr:nvSpPr>
        <xdr:cNvPr id="9" name="Tile7">
          <a:extLst>
            <a:ext uri="{FF2B5EF4-FFF2-40B4-BE49-F238E27FC236}">
              <a16:creationId xmlns:a16="http://schemas.microsoft.com/office/drawing/2014/main" id="{D3D96DF7-D426-4F19-9D7A-161E39CF5C04}"/>
            </a:ext>
          </a:extLst>
        </xdr:cNvPr>
        <xdr:cNvSpPr/>
      </xdr:nvSpPr>
      <xdr:spPr>
        <a:xfrm>
          <a:off x="2617013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</a:t>
          </a:r>
        </a:p>
      </xdr:txBody>
    </xdr:sp>
    <xdr:clientData/>
  </xdr:twoCellAnchor>
  <xdr:twoCellAnchor>
    <xdr:from>
      <xdr:col>32</xdr:col>
      <xdr:colOff>63946</xdr:colOff>
      <xdr:row>14</xdr:row>
      <xdr:rowOff>28575</xdr:rowOff>
    </xdr:from>
    <xdr:to>
      <xdr:col>37</xdr:col>
      <xdr:colOff>33136</xdr:colOff>
      <xdr:row>19</xdr:row>
      <xdr:rowOff>66675</xdr:rowOff>
    </xdr:to>
    <xdr:sp macro="" textlink="">
      <xdr:nvSpPr>
        <xdr:cNvPr id="10" name="Tile8">
          <a:extLst>
            <a:ext uri="{FF2B5EF4-FFF2-40B4-BE49-F238E27FC236}">
              <a16:creationId xmlns:a16="http://schemas.microsoft.com/office/drawing/2014/main" id="{C4898009-63B2-4715-ACD0-D77ABC6D7FD5}"/>
            </a:ext>
          </a:extLst>
        </xdr:cNvPr>
        <xdr:cNvSpPr/>
      </xdr:nvSpPr>
      <xdr:spPr>
        <a:xfrm>
          <a:off x="3111946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8</a:t>
          </a:r>
        </a:p>
      </xdr:txBody>
    </xdr:sp>
    <xdr:clientData/>
  </xdr:twoCellAnchor>
  <xdr:twoCellAnchor>
    <xdr:from>
      <xdr:col>37</xdr:col>
      <xdr:colOff>82630</xdr:colOff>
      <xdr:row>14</xdr:row>
      <xdr:rowOff>28575</xdr:rowOff>
    </xdr:from>
    <xdr:to>
      <xdr:col>42</xdr:col>
      <xdr:colOff>51820</xdr:colOff>
      <xdr:row>19</xdr:row>
      <xdr:rowOff>66675</xdr:rowOff>
    </xdr:to>
    <xdr:sp macro="" textlink="">
      <xdr:nvSpPr>
        <xdr:cNvPr id="11" name="Tile9">
          <a:extLst>
            <a:ext uri="{FF2B5EF4-FFF2-40B4-BE49-F238E27FC236}">
              <a16:creationId xmlns:a16="http://schemas.microsoft.com/office/drawing/2014/main" id="{24CC8989-36EF-4E6F-A158-B502D066BE49}"/>
            </a:ext>
          </a:extLst>
        </xdr:cNvPr>
        <xdr:cNvSpPr/>
      </xdr:nvSpPr>
      <xdr:spPr>
        <a:xfrm>
          <a:off x="3606880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9</a:t>
          </a:r>
        </a:p>
      </xdr:txBody>
    </xdr:sp>
    <xdr:clientData/>
  </xdr:twoCellAnchor>
  <xdr:twoCellAnchor>
    <xdr:from>
      <xdr:col>43</xdr:col>
      <xdr:colOff>6063</xdr:colOff>
      <xdr:row>14</xdr:row>
      <xdr:rowOff>28575</xdr:rowOff>
    </xdr:from>
    <xdr:to>
      <xdr:col>47</xdr:col>
      <xdr:colOff>70503</xdr:colOff>
      <xdr:row>19</xdr:row>
      <xdr:rowOff>66675</xdr:rowOff>
    </xdr:to>
    <xdr:sp macro="" textlink="">
      <xdr:nvSpPr>
        <xdr:cNvPr id="12" name="Tile10">
          <a:extLst>
            <a:ext uri="{FF2B5EF4-FFF2-40B4-BE49-F238E27FC236}">
              <a16:creationId xmlns:a16="http://schemas.microsoft.com/office/drawing/2014/main" id="{AB0689F7-E8DD-4593-B619-428A9AAC72FE}"/>
            </a:ext>
          </a:extLst>
        </xdr:cNvPr>
        <xdr:cNvSpPr/>
      </xdr:nvSpPr>
      <xdr:spPr>
        <a:xfrm>
          <a:off x="4101813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10</a:t>
          </a:r>
        </a:p>
      </xdr:txBody>
    </xdr:sp>
    <xdr:clientData/>
  </xdr:twoCellAnchor>
  <xdr:twoCellAnchor>
    <xdr:from>
      <xdr:col>48</xdr:col>
      <xdr:colOff>24747</xdr:colOff>
      <xdr:row>14</xdr:row>
      <xdr:rowOff>28575</xdr:rowOff>
    </xdr:from>
    <xdr:to>
      <xdr:col>52</xdr:col>
      <xdr:colOff>89187</xdr:colOff>
      <xdr:row>19</xdr:row>
      <xdr:rowOff>66675</xdr:rowOff>
    </xdr:to>
    <xdr:sp macro="" textlink="">
      <xdr:nvSpPr>
        <xdr:cNvPr id="13" name="Tile11">
          <a:extLst>
            <a:ext uri="{FF2B5EF4-FFF2-40B4-BE49-F238E27FC236}">
              <a16:creationId xmlns:a16="http://schemas.microsoft.com/office/drawing/2014/main" id="{7AD74C74-AC3F-4E8E-8E83-C9F44383302D}"/>
            </a:ext>
          </a:extLst>
        </xdr:cNvPr>
        <xdr:cNvSpPr/>
      </xdr:nvSpPr>
      <xdr:spPr>
        <a:xfrm>
          <a:off x="4596747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11</a:t>
          </a:r>
        </a:p>
      </xdr:txBody>
    </xdr:sp>
    <xdr:clientData/>
  </xdr:twoCellAnchor>
  <xdr:twoCellAnchor>
    <xdr:from>
      <xdr:col>53</xdr:col>
      <xdr:colOff>43430</xdr:colOff>
      <xdr:row>14</xdr:row>
      <xdr:rowOff>28575</xdr:rowOff>
    </xdr:from>
    <xdr:to>
      <xdr:col>58</xdr:col>
      <xdr:colOff>12620</xdr:colOff>
      <xdr:row>19</xdr:row>
      <xdr:rowOff>66675</xdr:rowOff>
    </xdr:to>
    <xdr:sp macro="" textlink="">
      <xdr:nvSpPr>
        <xdr:cNvPr id="14" name="Tile12">
          <a:extLst>
            <a:ext uri="{FF2B5EF4-FFF2-40B4-BE49-F238E27FC236}">
              <a16:creationId xmlns:a16="http://schemas.microsoft.com/office/drawing/2014/main" id="{D98D5E3E-566B-4A90-94A9-D0C34680D8E3}"/>
            </a:ext>
          </a:extLst>
        </xdr:cNvPr>
        <xdr:cNvSpPr/>
      </xdr:nvSpPr>
      <xdr:spPr>
        <a:xfrm>
          <a:off x="5091680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12</a:t>
          </a:r>
        </a:p>
      </xdr:txBody>
    </xdr:sp>
    <xdr:clientData/>
  </xdr:twoCellAnchor>
  <xdr:twoCellAnchor>
    <xdr:from>
      <xdr:col>58</xdr:col>
      <xdr:colOff>62114</xdr:colOff>
      <xdr:row>14</xdr:row>
      <xdr:rowOff>28575</xdr:rowOff>
    </xdr:from>
    <xdr:to>
      <xdr:col>63</xdr:col>
      <xdr:colOff>31304</xdr:colOff>
      <xdr:row>19</xdr:row>
      <xdr:rowOff>66675</xdr:rowOff>
    </xdr:to>
    <xdr:sp macro="" textlink="">
      <xdr:nvSpPr>
        <xdr:cNvPr id="15" name="Tile13">
          <a:extLst>
            <a:ext uri="{FF2B5EF4-FFF2-40B4-BE49-F238E27FC236}">
              <a16:creationId xmlns:a16="http://schemas.microsoft.com/office/drawing/2014/main" id="{769037C6-34D7-4304-BAA2-A227402E1493}"/>
            </a:ext>
          </a:extLst>
        </xdr:cNvPr>
        <xdr:cNvSpPr/>
      </xdr:nvSpPr>
      <xdr:spPr>
        <a:xfrm>
          <a:off x="5586614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13</a:t>
          </a:r>
        </a:p>
      </xdr:txBody>
    </xdr:sp>
    <xdr:clientData/>
  </xdr:twoCellAnchor>
  <xdr:twoCellAnchor>
    <xdr:from>
      <xdr:col>63</xdr:col>
      <xdr:colOff>80797</xdr:colOff>
      <xdr:row>14</xdr:row>
      <xdr:rowOff>28575</xdr:rowOff>
    </xdr:from>
    <xdr:to>
      <xdr:col>68</xdr:col>
      <xdr:colOff>49987</xdr:colOff>
      <xdr:row>19</xdr:row>
      <xdr:rowOff>66675</xdr:rowOff>
    </xdr:to>
    <xdr:sp macro="" textlink="">
      <xdr:nvSpPr>
        <xdr:cNvPr id="16" name="Tile14">
          <a:extLst>
            <a:ext uri="{FF2B5EF4-FFF2-40B4-BE49-F238E27FC236}">
              <a16:creationId xmlns:a16="http://schemas.microsoft.com/office/drawing/2014/main" id="{11EEB179-F427-42D8-866E-8A3155E2067C}"/>
            </a:ext>
          </a:extLst>
        </xdr:cNvPr>
        <xdr:cNvSpPr/>
      </xdr:nvSpPr>
      <xdr:spPr>
        <a:xfrm>
          <a:off x="6081547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14</a:t>
          </a:r>
        </a:p>
      </xdr:txBody>
    </xdr:sp>
    <xdr:clientData/>
  </xdr:twoCellAnchor>
  <xdr:twoCellAnchor>
    <xdr:from>
      <xdr:col>24</xdr:col>
      <xdr:colOff>83546</xdr:colOff>
      <xdr:row>18</xdr:row>
      <xdr:rowOff>76200</xdr:rowOff>
    </xdr:from>
    <xdr:to>
      <xdr:col>29</xdr:col>
      <xdr:colOff>52736</xdr:colOff>
      <xdr:row>24</xdr:row>
      <xdr:rowOff>19050</xdr:rowOff>
    </xdr:to>
    <xdr:sp macro="" textlink="">
      <xdr:nvSpPr>
        <xdr:cNvPr id="17" name="Tile15">
          <a:extLst>
            <a:ext uri="{FF2B5EF4-FFF2-40B4-BE49-F238E27FC236}">
              <a16:creationId xmlns:a16="http://schemas.microsoft.com/office/drawing/2014/main" id="{3579615E-8BB4-46B5-BEC1-8808171B0D27}"/>
            </a:ext>
          </a:extLst>
        </xdr:cNvPr>
        <xdr:cNvSpPr/>
      </xdr:nvSpPr>
      <xdr:spPr>
        <a:xfrm>
          <a:off x="2369546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15</a:t>
          </a:r>
        </a:p>
      </xdr:txBody>
    </xdr:sp>
    <xdr:clientData/>
  </xdr:twoCellAnchor>
  <xdr:twoCellAnchor>
    <xdr:from>
      <xdr:col>30</xdr:col>
      <xdr:colOff>6979</xdr:colOff>
      <xdr:row>18</xdr:row>
      <xdr:rowOff>76200</xdr:rowOff>
    </xdr:from>
    <xdr:to>
      <xdr:col>34</xdr:col>
      <xdr:colOff>71419</xdr:colOff>
      <xdr:row>24</xdr:row>
      <xdr:rowOff>19050</xdr:rowOff>
    </xdr:to>
    <xdr:sp macro="" textlink="">
      <xdr:nvSpPr>
        <xdr:cNvPr id="18" name="Tile16">
          <a:extLst>
            <a:ext uri="{FF2B5EF4-FFF2-40B4-BE49-F238E27FC236}">
              <a16:creationId xmlns:a16="http://schemas.microsoft.com/office/drawing/2014/main" id="{383417B5-D384-44AE-8456-3345D0B51EBC}"/>
            </a:ext>
          </a:extLst>
        </xdr:cNvPr>
        <xdr:cNvSpPr/>
      </xdr:nvSpPr>
      <xdr:spPr>
        <a:xfrm>
          <a:off x="2864479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16</a:t>
          </a:r>
        </a:p>
      </xdr:txBody>
    </xdr:sp>
    <xdr:clientData/>
  </xdr:twoCellAnchor>
  <xdr:twoCellAnchor>
    <xdr:from>
      <xdr:col>35</xdr:col>
      <xdr:colOff>25663</xdr:colOff>
      <xdr:row>18</xdr:row>
      <xdr:rowOff>76200</xdr:rowOff>
    </xdr:from>
    <xdr:to>
      <xdr:col>39</xdr:col>
      <xdr:colOff>90103</xdr:colOff>
      <xdr:row>24</xdr:row>
      <xdr:rowOff>19050</xdr:rowOff>
    </xdr:to>
    <xdr:sp macro="" textlink="">
      <xdr:nvSpPr>
        <xdr:cNvPr id="19" name="Tile17">
          <a:extLst>
            <a:ext uri="{FF2B5EF4-FFF2-40B4-BE49-F238E27FC236}">
              <a16:creationId xmlns:a16="http://schemas.microsoft.com/office/drawing/2014/main" id="{2E196CD1-8EDF-4EE3-A9C5-EA3C61F6C14A}"/>
            </a:ext>
          </a:extLst>
        </xdr:cNvPr>
        <xdr:cNvSpPr/>
      </xdr:nvSpPr>
      <xdr:spPr>
        <a:xfrm>
          <a:off x="3359413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17</a:t>
          </a:r>
        </a:p>
      </xdr:txBody>
    </xdr:sp>
    <xdr:clientData/>
  </xdr:twoCellAnchor>
  <xdr:twoCellAnchor>
    <xdr:from>
      <xdr:col>40</xdr:col>
      <xdr:colOff>44347</xdr:colOff>
      <xdr:row>18</xdr:row>
      <xdr:rowOff>76200</xdr:rowOff>
    </xdr:from>
    <xdr:to>
      <xdr:col>45</xdr:col>
      <xdr:colOff>13537</xdr:colOff>
      <xdr:row>24</xdr:row>
      <xdr:rowOff>19050</xdr:rowOff>
    </xdr:to>
    <xdr:sp macro="" textlink="">
      <xdr:nvSpPr>
        <xdr:cNvPr id="20" name="Tile18">
          <a:extLst>
            <a:ext uri="{FF2B5EF4-FFF2-40B4-BE49-F238E27FC236}">
              <a16:creationId xmlns:a16="http://schemas.microsoft.com/office/drawing/2014/main" id="{9D84523E-EFA4-49C2-A849-02511AD53F28}"/>
            </a:ext>
          </a:extLst>
        </xdr:cNvPr>
        <xdr:cNvSpPr/>
      </xdr:nvSpPr>
      <xdr:spPr>
        <a:xfrm>
          <a:off x="3854347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18</a:t>
          </a:r>
        </a:p>
      </xdr:txBody>
    </xdr:sp>
    <xdr:clientData/>
  </xdr:twoCellAnchor>
  <xdr:twoCellAnchor>
    <xdr:from>
      <xdr:col>45</xdr:col>
      <xdr:colOff>63030</xdr:colOff>
      <xdr:row>18</xdr:row>
      <xdr:rowOff>76200</xdr:rowOff>
    </xdr:from>
    <xdr:to>
      <xdr:col>50</xdr:col>
      <xdr:colOff>32220</xdr:colOff>
      <xdr:row>24</xdr:row>
      <xdr:rowOff>19050</xdr:rowOff>
    </xdr:to>
    <xdr:sp macro="" textlink="">
      <xdr:nvSpPr>
        <xdr:cNvPr id="21" name="Tile19">
          <a:extLst>
            <a:ext uri="{FF2B5EF4-FFF2-40B4-BE49-F238E27FC236}">
              <a16:creationId xmlns:a16="http://schemas.microsoft.com/office/drawing/2014/main" id="{209DBB69-3B56-4E44-8B0C-BCBE6C202B11}"/>
            </a:ext>
          </a:extLst>
        </xdr:cNvPr>
        <xdr:cNvSpPr/>
      </xdr:nvSpPr>
      <xdr:spPr>
        <a:xfrm>
          <a:off x="4349280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19</a:t>
          </a:r>
        </a:p>
      </xdr:txBody>
    </xdr:sp>
    <xdr:clientData/>
  </xdr:twoCellAnchor>
  <xdr:twoCellAnchor>
    <xdr:from>
      <xdr:col>50</xdr:col>
      <xdr:colOff>81714</xdr:colOff>
      <xdr:row>18</xdr:row>
      <xdr:rowOff>76200</xdr:rowOff>
    </xdr:from>
    <xdr:to>
      <xdr:col>55</xdr:col>
      <xdr:colOff>50904</xdr:colOff>
      <xdr:row>24</xdr:row>
      <xdr:rowOff>19050</xdr:rowOff>
    </xdr:to>
    <xdr:sp macro="" textlink="">
      <xdr:nvSpPr>
        <xdr:cNvPr id="22" name="Tile20">
          <a:extLst>
            <a:ext uri="{FF2B5EF4-FFF2-40B4-BE49-F238E27FC236}">
              <a16:creationId xmlns:a16="http://schemas.microsoft.com/office/drawing/2014/main" id="{E7FA58B7-40CD-4959-AAC3-5189ECA0D37E}"/>
            </a:ext>
          </a:extLst>
        </xdr:cNvPr>
        <xdr:cNvSpPr/>
      </xdr:nvSpPr>
      <xdr:spPr>
        <a:xfrm>
          <a:off x="4844214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20</a:t>
          </a:r>
        </a:p>
      </xdr:txBody>
    </xdr:sp>
    <xdr:clientData/>
  </xdr:twoCellAnchor>
  <xdr:twoCellAnchor>
    <xdr:from>
      <xdr:col>56</xdr:col>
      <xdr:colOff>5147</xdr:colOff>
      <xdr:row>18</xdr:row>
      <xdr:rowOff>76200</xdr:rowOff>
    </xdr:from>
    <xdr:to>
      <xdr:col>60</xdr:col>
      <xdr:colOff>69587</xdr:colOff>
      <xdr:row>24</xdr:row>
      <xdr:rowOff>19050</xdr:rowOff>
    </xdr:to>
    <xdr:sp macro="" textlink="">
      <xdr:nvSpPr>
        <xdr:cNvPr id="23" name="Tile21">
          <a:extLst>
            <a:ext uri="{FF2B5EF4-FFF2-40B4-BE49-F238E27FC236}">
              <a16:creationId xmlns:a16="http://schemas.microsoft.com/office/drawing/2014/main" id="{1283A0B1-45D7-4384-A83B-4F9B51EDB078}"/>
            </a:ext>
          </a:extLst>
        </xdr:cNvPr>
        <xdr:cNvSpPr/>
      </xdr:nvSpPr>
      <xdr:spPr>
        <a:xfrm>
          <a:off x="5339147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21</a:t>
          </a:r>
        </a:p>
      </xdr:txBody>
    </xdr:sp>
    <xdr:clientData/>
  </xdr:twoCellAnchor>
  <xdr:twoCellAnchor>
    <xdr:from>
      <xdr:col>61</xdr:col>
      <xdr:colOff>23831</xdr:colOff>
      <xdr:row>18</xdr:row>
      <xdr:rowOff>76200</xdr:rowOff>
    </xdr:from>
    <xdr:to>
      <xdr:col>65</xdr:col>
      <xdr:colOff>88271</xdr:colOff>
      <xdr:row>24</xdr:row>
      <xdr:rowOff>19050</xdr:rowOff>
    </xdr:to>
    <xdr:sp macro="" textlink="">
      <xdr:nvSpPr>
        <xdr:cNvPr id="24" name="Tile22">
          <a:extLst>
            <a:ext uri="{FF2B5EF4-FFF2-40B4-BE49-F238E27FC236}">
              <a16:creationId xmlns:a16="http://schemas.microsoft.com/office/drawing/2014/main" id="{F78226FD-833C-4011-BA06-4B9544895908}"/>
            </a:ext>
          </a:extLst>
        </xdr:cNvPr>
        <xdr:cNvSpPr/>
      </xdr:nvSpPr>
      <xdr:spPr>
        <a:xfrm>
          <a:off x="5834081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22</a:t>
          </a:r>
        </a:p>
      </xdr:txBody>
    </xdr:sp>
    <xdr:clientData/>
  </xdr:twoCellAnchor>
  <xdr:twoCellAnchor>
    <xdr:from>
      <xdr:col>66</xdr:col>
      <xdr:colOff>42514</xdr:colOff>
      <xdr:row>18</xdr:row>
      <xdr:rowOff>76200</xdr:rowOff>
    </xdr:from>
    <xdr:to>
      <xdr:col>71</xdr:col>
      <xdr:colOff>11704</xdr:colOff>
      <xdr:row>24</xdr:row>
      <xdr:rowOff>19050</xdr:rowOff>
    </xdr:to>
    <xdr:sp macro="" textlink="">
      <xdr:nvSpPr>
        <xdr:cNvPr id="25" name="Tile23">
          <a:extLst>
            <a:ext uri="{FF2B5EF4-FFF2-40B4-BE49-F238E27FC236}">
              <a16:creationId xmlns:a16="http://schemas.microsoft.com/office/drawing/2014/main" id="{3352E677-BDD8-4F0C-9D79-1AA7CC2F4AEA}"/>
            </a:ext>
          </a:extLst>
        </xdr:cNvPr>
        <xdr:cNvSpPr/>
      </xdr:nvSpPr>
      <xdr:spPr>
        <a:xfrm>
          <a:off x="6329014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23</a:t>
          </a:r>
        </a:p>
      </xdr:txBody>
    </xdr:sp>
    <xdr:clientData/>
  </xdr:twoCellAnchor>
  <xdr:twoCellAnchor>
    <xdr:from>
      <xdr:col>22</xdr:col>
      <xdr:colOff>26579</xdr:colOff>
      <xdr:row>23</xdr:row>
      <xdr:rowOff>28575</xdr:rowOff>
    </xdr:from>
    <xdr:to>
      <xdr:col>26</xdr:col>
      <xdr:colOff>91019</xdr:colOff>
      <xdr:row>28</xdr:row>
      <xdr:rowOff>66675</xdr:rowOff>
    </xdr:to>
    <xdr:sp macro="" textlink="">
      <xdr:nvSpPr>
        <xdr:cNvPr id="26" name="Tile24">
          <a:extLst>
            <a:ext uri="{FF2B5EF4-FFF2-40B4-BE49-F238E27FC236}">
              <a16:creationId xmlns:a16="http://schemas.microsoft.com/office/drawing/2014/main" id="{E3ACB12F-8DCE-4DF2-89CB-B1D173CD9C2A}"/>
            </a:ext>
          </a:extLst>
        </xdr:cNvPr>
        <xdr:cNvSpPr/>
      </xdr:nvSpPr>
      <xdr:spPr>
        <a:xfrm>
          <a:off x="2122079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24</a:t>
          </a:r>
        </a:p>
      </xdr:txBody>
    </xdr:sp>
    <xdr:clientData/>
  </xdr:twoCellAnchor>
  <xdr:twoCellAnchor>
    <xdr:from>
      <xdr:col>27</xdr:col>
      <xdr:colOff>45263</xdr:colOff>
      <xdr:row>23</xdr:row>
      <xdr:rowOff>28575</xdr:rowOff>
    </xdr:from>
    <xdr:to>
      <xdr:col>32</xdr:col>
      <xdr:colOff>14453</xdr:colOff>
      <xdr:row>28</xdr:row>
      <xdr:rowOff>66675</xdr:rowOff>
    </xdr:to>
    <xdr:sp macro="" textlink="">
      <xdr:nvSpPr>
        <xdr:cNvPr id="27" name="Tile25">
          <a:extLst>
            <a:ext uri="{FF2B5EF4-FFF2-40B4-BE49-F238E27FC236}">
              <a16:creationId xmlns:a16="http://schemas.microsoft.com/office/drawing/2014/main" id="{7C4B68B2-7351-46F9-AD1E-660A6DC715FF}"/>
            </a:ext>
          </a:extLst>
        </xdr:cNvPr>
        <xdr:cNvSpPr/>
      </xdr:nvSpPr>
      <xdr:spPr>
        <a:xfrm>
          <a:off x="2617013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25</a:t>
          </a:r>
        </a:p>
      </xdr:txBody>
    </xdr:sp>
    <xdr:clientData/>
  </xdr:twoCellAnchor>
  <xdr:twoCellAnchor>
    <xdr:from>
      <xdr:col>32</xdr:col>
      <xdr:colOff>63946</xdr:colOff>
      <xdr:row>23</xdr:row>
      <xdr:rowOff>28575</xdr:rowOff>
    </xdr:from>
    <xdr:to>
      <xdr:col>37</xdr:col>
      <xdr:colOff>33136</xdr:colOff>
      <xdr:row>28</xdr:row>
      <xdr:rowOff>66675</xdr:rowOff>
    </xdr:to>
    <xdr:sp macro="" textlink="">
      <xdr:nvSpPr>
        <xdr:cNvPr id="28" name="Tile26">
          <a:extLst>
            <a:ext uri="{FF2B5EF4-FFF2-40B4-BE49-F238E27FC236}">
              <a16:creationId xmlns:a16="http://schemas.microsoft.com/office/drawing/2014/main" id="{1988B516-3906-4180-A0E2-9E34ED2DEB94}"/>
            </a:ext>
          </a:extLst>
        </xdr:cNvPr>
        <xdr:cNvSpPr/>
      </xdr:nvSpPr>
      <xdr:spPr>
        <a:xfrm>
          <a:off x="3111946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26</a:t>
          </a:r>
        </a:p>
      </xdr:txBody>
    </xdr:sp>
    <xdr:clientData/>
  </xdr:twoCellAnchor>
  <xdr:twoCellAnchor>
    <xdr:from>
      <xdr:col>37</xdr:col>
      <xdr:colOff>82630</xdr:colOff>
      <xdr:row>23</xdr:row>
      <xdr:rowOff>28575</xdr:rowOff>
    </xdr:from>
    <xdr:to>
      <xdr:col>42</xdr:col>
      <xdr:colOff>51820</xdr:colOff>
      <xdr:row>28</xdr:row>
      <xdr:rowOff>66675</xdr:rowOff>
    </xdr:to>
    <xdr:sp macro="" textlink="">
      <xdr:nvSpPr>
        <xdr:cNvPr id="29" name="Tile27">
          <a:extLst>
            <a:ext uri="{FF2B5EF4-FFF2-40B4-BE49-F238E27FC236}">
              <a16:creationId xmlns:a16="http://schemas.microsoft.com/office/drawing/2014/main" id="{7B537590-AF3C-4B96-8A4B-5820F57272D6}"/>
            </a:ext>
          </a:extLst>
        </xdr:cNvPr>
        <xdr:cNvSpPr/>
      </xdr:nvSpPr>
      <xdr:spPr>
        <a:xfrm>
          <a:off x="3606880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27</a:t>
          </a:r>
        </a:p>
      </xdr:txBody>
    </xdr:sp>
    <xdr:clientData/>
  </xdr:twoCellAnchor>
  <xdr:twoCellAnchor>
    <xdr:from>
      <xdr:col>43</xdr:col>
      <xdr:colOff>6063</xdr:colOff>
      <xdr:row>23</xdr:row>
      <xdr:rowOff>28575</xdr:rowOff>
    </xdr:from>
    <xdr:to>
      <xdr:col>47</xdr:col>
      <xdr:colOff>70503</xdr:colOff>
      <xdr:row>28</xdr:row>
      <xdr:rowOff>66675</xdr:rowOff>
    </xdr:to>
    <xdr:sp macro="" textlink="">
      <xdr:nvSpPr>
        <xdr:cNvPr id="30" name="Tile28">
          <a:extLst>
            <a:ext uri="{FF2B5EF4-FFF2-40B4-BE49-F238E27FC236}">
              <a16:creationId xmlns:a16="http://schemas.microsoft.com/office/drawing/2014/main" id="{3CA83CCE-9299-471A-BF29-83685F7CA300}"/>
            </a:ext>
          </a:extLst>
        </xdr:cNvPr>
        <xdr:cNvSpPr/>
      </xdr:nvSpPr>
      <xdr:spPr>
        <a:xfrm>
          <a:off x="4101813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28</a:t>
          </a:r>
        </a:p>
      </xdr:txBody>
    </xdr:sp>
    <xdr:clientData/>
  </xdr:twoCellAnchor>
  <xdr:twoCellAnchor>
    <xdr:from>
      <xdr:col>48</xdr:col>
      <xdr:colOff>24747</xdr:colOff>
      <xdr:row>23</xdr:row>
      <xdr:rowOff>28575</xdr:rowOff>
    </xdr:from>
    <xdr:to>
      <xdr:col>52</xdr:col>
      <xdr:colOff>89187</xdr:colOff>
      <xdr:row>28</xdr:row>
      <xdr:rowOff>66675</xdr:rowOff>
    </xdr:to>
    <xdr:sp macro="" textlink="">
      <xdr:nvSpPr>
        <xdr:cNvPr id="31" name="Tile29">
          <a:extLst>
            <a:ext uri="{FF2B5EF4-FFF2-40B4-BE49-F238E27FC236}">
              <a16:creationId xmlns:a16="http://schemas.microsoft.com/office/drawing/2014/main" id="{71F7A412-C278-43BB-B11E-777454E9244D}"/>
            </a:ext>
          </a:extLst>
        </xdr:cNvPr>
        <xdr:cNvSpPr/>
      </xdr:nvSpPr>
      <xdr:spPr>
        <a:xfrm>
          <a:off x="4596747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29</a:t>
          </a:r>
        </a:p>
      </xdr:txBody>
    </xdr:sp>
    <xdr:clientData/>
  </xdr:twoCellAnchor>
  <xdr:twoCellAnchor>
    <xdr:from>
      <xdr:col>53</xdr:col>
      <xdr:colOff>43430</xdr:colOff>
      <xdr:row>23</xdr:row>
      <xdr:rowOff>28575</xdr:rowOff>
    </xdr:from>
    <xdr:to>
      <xdr:col>58</xdr:col>
      <xdr:colOff>12620</xdr:colOff>
      <xdr:row>28</xdr:row>
      <xdr:rowOff>66675</xdr:rowOff>
    </xdr:to>
    <xdr:sp macro="" textlink="">
      <xdr:nvSpPr>
        <xdr:cNvPr id="32" name="Tile30">
          <a:extLst>
            <a:ext uri="{FF2B5EF4-FFF2-40B4-BE49-F238E27FC236}">
              <a16:creationId xmlns:a16="http://schemas.microsoft.com/office/drawing/2014/main" id="{AF1501CA-F3D2-46CF-AC9B-D3F1714240C7}"/>
            </a:ext>
          </a:extLst>
        </xdr:cNvPr>
        <xdr:cNvSpPr/>
      </xdr:nvSpPr>
      <xdr:spPr>
        <a:xfrm>
          <a:off x="5091680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30</a:t>
          </a:r>
        </a:p>
      </xdr:txBody>
    </xdr:sp>
    <xdr:clientData/>
  </xdr:twoCellAnchor>
  <xdr:twoCellAnchor>
    <xdr:from>
      <xdr:col>58</xdr:col>
      <xdr:colOff>62114</xdr:colOff>
      <xdr:row>23</xdr:row>
      <xdr:rowOff>28575</xdr:rowOff>
    </xdr:from>
    <xdr:to>
      <xdr:col>63</xdr:col>
      <xdr:colOff>31304</xdr:colOff>
      <xdr:row>28</xdr:row>
      <xdr:rowOff>66675</xdr:rowOff>
    </xdr:to>
    <xdr:sp macro="" textlink="">
      <xdr:nvSpPr>
        <xdr:cNvPr id="33" name="Tile31">
          <a:extLst>
            <a:ext uri="{FF2B5EF4-FFF2-40B4-BE49-F238E27FC236}">
              <a16:creationId xmlns:a16="http://schemas.microsoft.com/office/drawing/2014/main" id="{B3AC9D41-CF0B-49D1-ACC1-87E96AAD7A54}"/>
            </a:ext>
          </a:extLst>
        </xdr:cNvPr>
        <xdr:cNvSpPr/>
      </xdr:nvSpPr>
      <xdr:spPr>
        <a:xfrm>
          <a:off x="5586614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31</a:t>
          </a:r>
        </a:p>
      </xdr:txBody>
    </xdr:sp>
    <xdr:clientData/>
  </xdr:twoCellAnchor>
  <xdr:twoCellAnchor>
    <xdr:from>
      <xdr:col>63</xdr:col>
      <xdr:colOff>80797</xdr:colOff>
      <xdr:row>23</xdr:row>
      <xdr:rowOff>28575</xdr:rowOff>
    </xdr:from>
    <xdr:to>
      <xdr:col>68</xdr:col>
      <xdr:colOff>49987</xdr:colOff>
      <xdr:row>28</xdr:row>
      <xdr:rowOff>66675</xdr:rowOff>
    </xdr:to>
    <xdr:sp macro="" textlink="">
      <xdr:nvSpPr>
        <xdr:cNvPr id="34" name="Tile32">
          <a:extLst>
            <a:ext uri="{FF2B5EF4-FFF2-40B4-BE49-F238E27FC236}">
              <a16:creationId xmlns:a16="http://schemas.microsoft.com/office/drawing/2014/main" id="{7532D44C-7771-4F7E-9224-D5A42DD29368}"/>
            </a:ext>
          </a:extLst>
        </xdr:cNvPr>
        <xdr:cNvSpPr/>
      </xdr:nvSpPr>
      <xdr:spPr>
        <a:xfrm>
          <a:off x="6081547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32</a:t>
          </a:r>
        </a:p>
      </xdr:txBody>
    </xdr:sp>
    <xdr:clientData/>
  </xdr:twoCellAnchor>
  <xdr:twoCellAnchor>
    <xdr:from>
      <xdr:col>69</xdr:col>
      <xdr:colOff>4231</xdr:colOff>
      <xdr:row>23</xdr:row>
      <xdr:rowOff>28575</xdr:rowOff>
    </xdr:from>
    <xdr:to>
      <xdr:col>73</xdr:col>
      <xdr:colOff>68671</xdr:colOff>
      <xdr:row>28</xdr:row>
      <xdr:rowOff>66675</xdr:rowOff>
    </xdr:to>
    <xdr:sp macro="" textlink="">
      <xdr:nvSpPr>
        <xdr:cNvPr id="35" name="Tile33">
          <a:extLst>
            <a:ext uri="{FF2B5EF4-FFF2-40B4-BE49-F238E27FC236}">
              <a16:creationId xmlns:a16="http://schemas.microsoft.com/office/drawing/2014/main" id="{93C6BE83-9A3E-4A02-89BB-94769CE95CC4}"/>
            </a:ext>
          </a:extLst>
        </xdr:cNvPr>
        <xdr:cNvSpPr/>
      </xdr:nvSpPr>
      <xdr:spPr>
        <a:xfrm>
          <a:off x="6576481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33</a:t>
          </a:r>
        </a:p>
      </xdr:txBody>
    </xdr:sp>
    <xdr:clientData/>
  </xdr:twoCellAnchor>
  <xdr:twoCellAnchor>
    <xdr:from>
      <xdr:col>19</xdr:col>
      <xdr:colOff>64862</xdr:colOff>
      <xdr:row>27</xdr:row>
      <xdr:rowOff>76200</xdr:rowOff>
    </xdr:from>
    <xdr:to>
      <xdr:col>24</xdr:col>
      <xdr:colOff>34052</xdr:colOff>
      <xdr:row>33</xdr:row>
      <xdr:rowOff>19050</xdr:rowOff>
    </xdr:to>
    <xdr:sp macro="" textlink="">
      <xdr:nvSpPr>
        <xdr:cNvPr id="36" name="Tile34">
          <a:extLst>
            <a:ext uri="{FF2B5EF4-FFF2-40B4-BE49-F238E27FC236}">
              <a16:creationId xmlns:a16="http://schemas.microsoft.com/office/drawing/2014/main" id="{A7A7E8E2-1931-4F1E-B0D7-2FDF34D867C3}"/>
            </a:ext>
          </a:extLst>
        </xdr:cNvPr>
        <xdr:cNvSpPr/>
      </xdr:nvSpPr>
      <xdr:spPr>
        <a:xfrm>
          <a:off x="1874612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34</a:t>
          </a:r>
        </a:p>
      </xdr:txBody>
    </xdr:sp>
    <xdr:clientData/>
  </xdr:twoCellAnchor>
  <xdr:twoCellAnchor>
    <xdr:from>
      <xdr:col>24</xdr:col>
      <xdr:colOff>83546</xdr:colOff>
      <xdr:row>27</xdr:row>
      <xdr:rowOff>76200</xdr:rowOff>
    </xdr:from>
    <xdr:to>
      <xdr:col>29</xdr:col>
      <xdr:colOff>52736</xdr:colOff>
      <xdr:row>33</xdr:row>
      <xdr:rowOff>19050</xdr:rowOff>
    </xdr:to>
    <xdr:sp macro="" textlink="">
      <xdr:nvSpPr>
        <xdr:cNvPr id="37" name="Tile35">
          <a:extLst>
            <a:ext uri="{FF2B5EF4-FFF2-40B4-BE49-F238E27FC236}">
              <a16:creationId xmlns:a16="http://schemas.microsoft.com/office/drawing/2014/main" id="{A62F87F9-C171-4662-B052-35D896AF892B}"/>
            </a:ext>
          </a:extLst>
        </xdr:cNvPr>
        <xdr:cNvSpPr/>
      </xdr:nvSpPr>
      <xdr:spPr>
        <a:xfrm>
          <a:off x="2369546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35</a:t>
          </a:r>
        </a:p>
      </xdr:txBody>
    </xdr:sp>
    <xdr:clientData/>
  </xdr:twoCellAnchor>
  <xdr:twoCellAnchor>
    <xdr:from>
      <xdr:col>30</xdr:col>
      <xdr:colOff>6979</xdr:colOff>
      <xdr:row>27</xdr:row>
      <xdr:rowOff>76200</xdr:rowOff>
    </xdr:from>
    <xdr:to>
      <xdr:col>34</xdr:col>
      <xdr:colOff>71419</xdr:colOff>
      <xdr:row>33</xdr:row>
      <xdr:rowOff>19050</xdr:rowOff>
    </xdr:to>
    <xdr:sp macro="" textlink="">
      <xdr:nvSpPr>
        <xdr:cNvPr id="38" name="Tile36">
          <a:extLst>
            <a:ext uri="{FF2B5EF4-FFF2-40B4-BE49-F238E27FC236}">
              <a16:creationId xmlns:a16="http://schemas.microsoft.com/office/drawing/2014/main" id="{6939E1BC-3478-4DC1-BD59-10A34128DFCD}"/>
            </a:ext>
          </a:extLst>
        </xdr:cNvPr>
        <xdr:cNvSpPr/>
      </xdr:nvSpPr>
      <xdr:spPr>
        <a:xfrm>
          <a:off x="2864479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36</a:t>
          </a:r>
        </a:p>
      </xdr:txBody>
    </xdr:sp>
    <xdr:clientData/>
  </xdr:twoCellAnchor>
  <xdr:twoCellAnchor>
    <xdr:from>
      <xdr:col>35</xdr:col>
      <xdr:colOff>25663</xdr:colOff>
      <xdr:row>27</xdr:row>
      <xdr:rowOff>76200</xdr:rowOff>
    </xdr:from>
    <xdr:to>
      <xdr:col>39</xdr:col>
      <xdr:colOff>90103</xdr:colOff>
      <xdr:row>33</xdr:row>
      <xdr:rowOff>19050</xdr:rowOff>
    </xdr:to>
    <xdr:sp macro="" textlink="">
      <xdr:nvSpPr>
        <xdr:cNvPr id="39" name="Tile37">
          <a:extLst>
            <a:ext uri="{FF2B5EF4-FFF2-40B4-BE49-F238E27FC236}">
              <a16:creationId xmlns:a16="http://schemas.microsoft.com/office/drawing/2014/main" id="{AF0DE761-51E3-4939-ABD7-42159B80DC4B}"/>
            </a:ext>
          </a:extLst>
        </xdr:cNvPr>
        <xdr:cNvSpPr/>
      </xdr:nvSpPr>
      <xdr:spPr>
        <a:xfrm>
          <a:off x="3359413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rgbClr val="FF0000"/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37</a:t>
          </a:r>
        </a:p>
      </xdr:txBody>
    </xdr:sp>
    <xdr:clientData/>
  </xdr:twoCellAnchor>
  <xdr:twoCellAnchor>
    <xdr:from>
      <xdr:col>40</xdr:col>
      <xdr:colOff>44347</xdr:colOff>
      <xdr:row>27</xdr:row>
      <xdr:rowOff>76200</xdr:rowOff>
    </xdr:from>
    <xdr:to>
      <xdr:col>45</xdr:col>
      <xdr:colOff>13537</xdr:colOff>
      <xdr:row>33</xdr:row>
      <xdr:rowOff>19050</xdr:rowOff>
    </xdr:to>
    <xdr:sp macro="" textlink="">
      <xdr:nvSpPr>
        <xdr:cNvPr id="40" name="Tile38">
          <a:extLst>
            <a:ext uri="{FF2B5EF4-FFF2-40B4-BE49-F238E27FC236}">
              <a16:creationId xmlns:a16="http://schemas.microsoft.com/office/drawing/2014/main" id="{F619823E-D133-4565-9D63-9691AAB48A8B}"/>
            </a:ext>
          </a:extLst>
        </xdr:cNvPr>
        <xdr:cNvSpPr/>
      </xdr:nvSpPr>
      <xdr:spPr>
        <a:xfrm>
          <a:off x="3854347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38</a:t>
          </a:r>
        </a:p>
      </xdr:txBody>
    </xdr:sp>
    <xdr:clientData/>
  </xdr:twoCellAnchor>
  <xdr:twoCellAnchor>
    <xdr:from>
      <xdr:col>45</xdr:col>
      <xdr:colOff>63030</xdr:colOff>
      <xdr:row>27</xdr:row>
      <xdr:rowOff>76200</xdr:rowOff>
    </xdr:from>
    <xdr:to>
      <xdr:col>50</xdr:col>
      <xdr:colOff>32220</xdr:colOff>
      <xdr:row>33</xdr:row>
      <xdr:rowOff>19050</xdr:rowOff>
    </xdr:to>
    <xdr:sp macro="" textlink="">
      <xdr:nvSpPr>
        <xdr:cNvPr id="41" name="Tile39">
          <a:extLst>
            <a:ext uri="{FF2B5EF4-FFF2-40B4-BE49-F238E27FC236}">
              <a16:creationId xmlns:a16="http://schemas.microsoft.com/office/drawing/2014/main" id="{EB9A92FF-BC72-4F44-8CE9-03C83A949B1B}"/>
            </a:ext>
          </a:extLst>
        </xdr:cNvPr>
        <xdr:cNvSpPr/>
      </xdr:nvSpPr>
      <xdr:spPr>
        <a:xfrm>
          <a:off x="4349280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39</a:t>
          </a:r>
        </a:p>
      </xdr:txBody>
    </xdr:sp>
    <xdr:clientData/>
  </xdr:twoCellAnchor>
  <xdr:twoCellAnchor>
    <xdr:from>
      <xdr:col>50</xdr:col>
      <xdr:colOff>81714</xdr:colOff>
      <xdr:row>27</xdr:row>
      <xdr:rowOff>76200</xdr:rowOff>
    </xdr:from>
    <xdr:to>
      <xdr:col>55</xdr:col>
      <xdr:colOff>50904</xdr:colOff>
      <xdr:row>33</xdr:row>
      <xdr:rowOff>19050</xdr:rowOff>
    </xdr:to>
    <xdr:sp macro="" textlink="">
      <xdr:nvSpPr>
        <xdr:cNvPr id="42" name="Tile40">
          <a:extLst>
            <a:ext uri="{FF2B5EF4-FFF2-40B4-BE49-F238E27FC236}">
              <a16:creationId xmlns:a16="http://schemas.microsoft.com/office/drawing/2014/main" id="{7BF32346-2AAD-45C9-B32A-6A6441EF460A}"/>
            </a:ext>
          </a:extLst>
        </xdr:cNvPr>
        <xdr:cNvSpPr/>
      </xdr:nvSpPr>
      <xdr:spPr>
        <a:xfrm>
          <a:off x="4844214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40</a:t>
          </a:r>
        </a:p>
      </xdr:txBody>
    </xdr:sp>
    <xdr:clientData/>
  </xdr:twoCellAnchor>
  <xdr:twoCellAnchor>
    <xdr:from>
      <xdr:col>56</xdr:col>
      <xdr:colOff>5147</xdr:colOff>
      <xdr:row>27</xdr:row>
      <xdr:rowOff>76200</xdr:rowOff>
    </xdr:from>
    <xdr:to>
      <xdr:col>60</xdr:col>
      <xdr:colOff>69587</xdr:colOff>
      <xdr:row>33</xdr:row>
      <xdr:rowOff>19050</xdr:rowOff>
    </xdr:to>
    <xdr:sp macro="" textlink="">
      <xdr:nvSpPr>
        <xdr:cNvPr id="43" name="Tile41">
          <a:extLst>
            <a:ext uri="{FF2B5EF4-FFF2-40B4-BE49-F238E27FC236}">
              <a16:creationId xmlns:a16="http://schemas.microsoft.com/office/drawing/2014/main" id="{ABA420CC-5AA8-4B00-AC8F-76A4DD65D599}"/>
            </a:ext>
          </a:extLst>
        </xdr:cNvPr>
        <xdr:cNvSpPr/>
      </xdr:nvSpPr>
      <xdr:spPr>
        <a:xfrm>
          <a:off x="5339147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41</a:t>
          </a:r>
        </a:p>
      </xdr:txBody>
    </xdr:sp>
    <xdr:clientData/>
  </xdr:twoCellAnchor>
  <xdr:twoCellAnchor>
    <xdr:from>
      <xdr:col>61</xdr:col>
      <xdr:colOff>23831</xdr:colOff>
      <xdr:row>27</xdr:row>
      <xdr:rowOff>76200</xdr:rowOff>
    </xdr:from>
    <xdr:to>
      <xdr:col>65</xdr:col>
      <xdr:colOff>88271</xdr:colOff>
      <xdr:row>33</xdr:row>
      <xdr:rowOff>19050</xdr:rowOff>
    </xdr:to>
    <xdr:sp macro="" textlink="">
      <xdr:nvSpPr>
        <xdr:cNvPr id="44" name="Tile42">
          <a:extLst>
            <a:ext uri="{FF2B5EF4-FFF2-40B4-BE49-F238E27FC236}">
              <a16:creationId xmlns:a16="http://schemas.microsoft.com/office/drawing/2014/main" id="{A4CFC1C0-D65E-4FE0-AE7B-40C5F1C12410}"/>
            </a:ext>
          </a:extLst>
        </xdr:cNvPr>
        <xdr:cNvSpPr/>
      </xdr:nvSpPr>
      <xdr:spPr>
        <a:xfrm>
          <a:off x="5834081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42</a:t>
          </a:r>
        </a:p>
      </xdr:txBody>
    </xdr:sp>
    <xdr:clientData/>
  </xdr:twoCellAnchor>
  <xdr:twoCellAnchor>
    <xdr:from>
      <xdr:col>66</xdr:col>
      <xdr:colOff>42514</xdr:colOff>
      <xdr:row>27</xdr:row>
      <xdr:rowOff>76200</xdr:rowOff>
    </xdr:from>
    <xdr:to>
      <xdr:col>71</xdr:col>
      <xdr:colOff>11704</xdr:colOff>
      <xdr:row>33</xdr:row>
      <xdr:rowOff>19050</xdr:rowOff>
    </xdr:to>
    <xdr:sp macro="" textlink="">
      <xdr:nvSpPr>
        <xdr:cNvPr id="45" name="Tile43">
          <a:extLst>
            <a:ext uri="{FF2B5EF4-FFF2-40B4-BE49-F238E27FC236}">
              <a16:creationId xmlns:a16="http://schemas.microsoft.com/office/drawing/2014/main" id="{37080812-5DBF-46A2-B7D3-3FEFE51A2CCA}"/>
            </a:ext>
          </a:extLst>
        </xdr:cNvPr>
        <xdr:cNvSpPr/>
      </xdr:nvSpPr>
      <xdr:spPr>
        <a:xfrm>
          <a:off x="6329014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43</a:t>
          </a:r>
        </a:p>
      </xdr:txBody>
    </xdr:sp>
    <xdr:clientData/>
  </xdr:twoCellAnchor>
  <xdr:twoCellAnchor>
    <xdr:from>
      <xdr:col>71</xdr:col>
      <xdr:colOff>61198</xdr:colOff>
      <xdr:row>27</xdr:row>
      <xdr:rowOff>76200</xdr:rowOff>
    </xdr:from>
    <xdr:to>
      <xdr:col>76</xdr:col>
      <xdr:colOff>30388</xdr:colOff>
      <xdr:row>33</xdr:row>
      <xdr:rowOff>19050</xdr:rowOff>
    </xdr:to>
    <xdr:sp macro="" textlink="">
      <xdr:nvSpPr>
        <xdr:cNvPr id="46" name="Tile44">
          <a:extLst>
            <a:ext uri="{FF2B5EF4-FFF2-40B4-BE49-F238E27FC236}">
              <a16:creationId xmlns:a16="http://schemas.microsoft.com/office/drawing/2014/main" id="{FBAC1707-8FEC-4496-BEB3-08E5B5CF1C3A}"/>
            </a:ext>
          </a:extLst>
        </xdr:cNvPr>
        <xdr:cNvSpPr/>
      </xdr:nvSpPr>
      <xdr:spPr>
        <a:xfrm>
          <a:off x="6823948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44</a:t>
          </a:r>
        </a:p>
      </xdr:txBody>
    </xdr:sp>
    <xdr:clientData/>
  </xdr:twoCellAnchor>
  <xdr:twoCellAnchor>
    <xdr:from>
      <xdr:col>22</xdr:col>
      <xdr:colOff>26579</xdr:colOff>
      <xdr:row>32</xdr:row>
      <xdr:rowOff>28575</xdr:rowOff>
    </xdr:from>
    <xdr:to>
      <xdr:col>26</xdr:col>
      <xdr:colOff>91019</xdr:colOff>
      <xdr:row>37</xdr:row>
      <xdr:rowOff>66675</xdr:rowOff>
    </xdr:to>
    <xdr:sp macro="" textlink="">
      <xdr:nvSpPr>
        <xdr:cNvPr id="47" name="Tile45">
          <a:extLst>
            <a:ext uri="{FF2B5EF4-FFF2-40B4-BE49-F238E27FC236}">
              <a16:creationId xmlns:a16="http://schemas.microsoft.com/office/drawing/2014/main" id="{155656E6-7493-4786-A933-5B59EB3BE26F}"/>
            </a:ext>
          </a:extLst>
        </xdr:cNvPr>
        <xdr:cNvSpPr/>
      </xdr:nvSpPr>
      <xdr:spPr>
        <a:xfrm>
          <a:off x="2122079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45</a:t>
          </a:r>
        </a:p>
      </xdr:txBody>
    </xdr:sp>
    <xdr:clientData/>
  </xdr:twoCellAnchor>
  <xdr:twoCellAnchor>
    <xdr:from>
      <xdr:col>27</xdr:col>
      <xdr:colOff>45263</xdr:colOff>
      <xdr:row>32</xdr:row>
      <xdr:rowOff>28575</xdr:rowOff>
    </xdr:from>
    <xdr:to>
      <xdr:col>32</xdr:col>
      <xdr:colOff>14453</xdr:colOff>
      <xdr:row>37</xdr:row>
      <xdr:rowOff>66675</xdr:rowOff>
    </xdr:to>
    <xdr:sp macro="" textlink="">
      <xdr:nvSpPr>
        <xdr:cNvPr id="48" name="Tile46">
          <a:extLst>
            <a:ext uri="{FF2B5EF4-FFF2-40B4-BE49-F238E27FC236}">
              <a16:creationId xmlns:a16="http://schemas.microsoft.com/office/drawing/2014/main" id="{E26EB4A5-9AF3-4D9F-B8B5-9A27F44009D1}"/>
            </a:ext>
          </a:extLst>
        </xdr:cNvPr>
        <xdr:cNvSpPr/>
      </xdr:nvSpPr>
      <xdr:spPr>
        <a:xfrm>
          <a:off x="2617013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46</a:t>
          </a:r>
        </a:p>
      </xdr:txBody>
    </xdr:sp>
    <xdr:clientData/>
  </xdr:twoCellAnchor>
  <xdr:twoCellAnchor>
    <xdr:from>
      <xdr:col>32</xdr:col>
      <xdr:colOff>63946</xdr:colOff>
      <xdr:row>32</xdr:row>
      <xdr:rowOff>28575</xdr:rowOff>
    </xdr:from>
    <xdr:to>
      <xdr:col>37</xdr:col>
      <xdr:colOff>33136</xdr:colOff>
      <xdr:row>37</xdr:row>
      <xdr:rowOff>66675</xdr:rowOff>
    </xdr:to>
    <xdr:sp macro="" textlink="">
      <xdr:nvSpPr>
        <xdr:cNvPr id="49" name="Tile47">
          <a:extLst>
            <a:ext uri="{FF2B5EF4-FFF2-40B4-BE49-F238E27FC236}">
              <a16:creationId xmlns:a16="http://schemas.microsoft.com/office/drawing/2014/main" id="{C7B6F432-B506-41E3-BC92-C6BD2ACF0B74}"/>
            </a:ext>
          </a:extLst>
        </xdr:cNvPr>
        <xdr:cNvSpPr/>
      </xdr:nvSpPr>
      <xdr:spPr>
        <a:xfrm>
          <a:off x="3111946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47</a:t>
          </a:r>
        </a:p>
      </xdr:txBody>
    </xdr:sp>
    <xdr:clientData/>
  </xdr:twoCellAnchor>
  <xdr:twoCellAnchor>
    <xdr:from>
      <xdr:col>37</xdr:col>
      <xdr:colOff>82630</xdr:colOff>
      <xdr:row>32</xdr:row>
      <xdr:rowOff>28575</xdr:rowOff>
    </xdr:from>
    <xdr:to>
      <xdr:col>42</xdr:col>
      <xdr:colOff>51820</xdr:colOff>
      <xdr:row>37</xdr:row>
      <xdr:rowOff>66675</xdr:rowOff>
    </xdr:to>
    <xdr:sp macro="" textlink="">
      <xdr:nvSpPr>
        <xdr:cNvPr id="50" name="Tile48">
          <a:extLst>
            <a:ext uri="{FF2B5EF4-FFF2-40B4-BE49-F238E27FC236}">
              <a16:creationId xmlns:a16="http://schemas.microsoft.com/office/drawing/2014/main" id="{51F7E67C-FDDE-4AA4-A832-9B00483D3F7D}"/>
            </a:ext>
          </a:extLst>
        </xdr:cNvPr>
        <xdr:cNvSpPr/>
      </xdr:nvSpPr>
      <xdr:spPr>
        <a:xfrm>
          <a:off x="3606880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48</a:t>
          </a:r>
        </a:p>
      </xdr:txBody>
    </xdr:sp>
    <xdr:clientData/>
  </xdr:twoCellAnchor>
  <xdr:twoCellAnchor>
    <xdr:from>
      <xdr:col>43</xdr:col>
      <xdr:colOff>6063</xdr:colOff>
      <xdr:row>32</xdr:row>
      <xdr:rowOff>28575</xdr:rowOff>
    </xdr:from>
    <xdr:to>
      <xdr:col>47</xdr:col>
      <xdr:colOff>70503</xdr:colOff>
      <xdr:row>37</xdr:row>
      <xdr:rowOff>66675</xdr:rowOff>
    </xdr:to>
    <xdr:sp macro="" textlink="">
      <xdr:nvSpPr>
        <xdr:cNvPr id="51" name="Tile49">
          <a:extLst>
            <a:ext uri="{FF2B5EF4-FFF2-40B4-BE49-F238E27FC236}">
              <a16:creationId xmlns:a16="http://schemas.microsoft.com/office/drawing/2014/main" id="{75A2B03C-7552-4AD1-AE79-8DF20A8A9555}"/>
            </a:ext>
          </a:extLst>
        </xdr:cNvPr>
        <xdr:cNvSpPr/>
      </xdr:nvSpPr>
      <xdr:spPr>
        <a:xfrm>
          <a:off x="4101813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49</a:t>
          </a:r>
        </a:p>
      </xdr:txBody>
    </xdr:sp>
    <xdr:clientData/>
  </xdr:twoCellAnchor>
  <xdr:twoCellAnchor>
    <xdr:from>
      <xdr:col>48</xdr:col>
      <xdr:colOff>24747</xdr:colOff>
      <xdr:row>32</xdr:row>
      <xdr:rowOff>28575</xdr:rowOff>
    </xdr:from>
    <xdr:to>
      <xdr:col>52</xdr:col>
      <xdr:colOff>89187</xdr:colOff>
      <xdr:row>37</xdr:row>
      <xdr:rowOff>66675</xdr:rowOff>
    </xdr:to>
    <xdr:sp macro="" textlink="">
      <xdr:nvSpPr>
        <xdr:cNvPr id="52" name="Tile50">
          <a:extLst>
            <a:ext uri="{FF2B5EF4-FFF2-40B4-BE49-F238E27FC236}">
              <a16:creationId xmlns:a16="http://schemas.microsoft.com/office/drawing/2014/main" id="{8B636CED-2EEF-4B5A-B685-1A4C44C75EAD}"/>
            </a:ext>
          </a:extLst>
        </xdr:cNvPr>
        <xdr:cNvSpPr/>
      </xdr:nvSpPr>
      <xdr:spPr>
        <a:xfrm>
          <a:off x="4596747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50</a:t>
          </a:r>
        </a:p>
      </xdr:txBody>
    </xdr:sp>
    <xdr:clientData/>
  </xdr:twoCellAnchor>
  <xdr:twoCellAnchor>
    <xdr:from>
      <xdr:col>53</xdr:col>
      <xdr:colOff>43430</xdr:colOff>
      <xdr:row>32</xdr:row>
      <xdr:rowOff>28575</xdr:rowOff>
    </xdr:from>
    <xdr:to>
      <xdr:col>58</xdr:col>
      <xdr:colOff>12620</xdr:colOff>
      <xdr:row>37</xdr:row>
      <xdr:rowOff>66675</xdr:rowOff>
    </xdr:to>
    <xdr:sp macro="" textlink="">
      <xdr:nvSpPr>
        <xdr:cNvPr id="53" name="Tile51">
          <a:extLst>
            <a:ext uri="{FF2B5EF4-FFF2-40B4-BE49-F238E27FC236}">
              <a16:creationId xmlns:a16="http://schemas.microsoft.com/office/drawing/2014/main" id="{6B3F9328-B5B8-4019-A495-ED1F7099AF96}"/>
            </a:ext>
          </a:extLst>
        </xdr:cNvPr>
        <xdr:cNvSpPr/>
      </xdr:nvSpPr>
      <xdr:spPr>
        <a:xfrm>
          <a:off x="5091680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51</a:t>
          </a:r>
        </a:p>
      </xdr:txBody>
    </xdr:sp>
    <xdr:clientData/>
  </xdr:twoCellAnchor>
  <xdr:twoCellAnchor>
    <xdr:from>
      <xdr:col>58</xdr:col>
      <xdr:colOff>62114</xdr:colOff>
      <xdr:row>32</xdr:row>
      <xdr:rowOff>28575</xdr:rowOff>
    </xdr:from>
    <xdr:to>
      <xdr:col>63</xdr:col>
      <xdr:colOff>31304</xdr:colOff>
      <xdr:row>37</xdr:row>
      <xdr:rowOff>66675</xdr:rowOff>
    </xdr:to>
    <xdr:sp macro="" textlink="">
      <xdr:nvSpPr>
        <xdr:cNvPr id="54" name="Tile52">
          <a:extLst>
            <a:ext uri="{FF2B5EF4-FFF2-40B4-BE49-F238E27FC236}">
              <a16:creationId xmlns:a16="http://schemas.microsoft.com/office/drawing/2014/main" id="{61D39730-B5CA-4CDC-A98C-D463C387FFF4}"/>
            </a:ext>
          </a:extLst>
        </xdr:cNvPr>
        <xdr:cNvSpPr/>
      </xdr:nvSpPr>
      <xdr:spPr>
        <a:xfrm>
          <a:off x="5586614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52</a:t>
          </a:r>
        </a:p>
      </xdr:txBody>
    </xdr:sp>
    <xdr:clientData/>
  </xdr:twoCellAnchor>
  <xdr:twoCellAnchor>
    <xdr:from>
      <xdr:col>63</xdr:col>
      <xdr:colOff>80797</xdr:colOff>
      <xdr:row>32</xdr:row>
      <xdr:rowOff>28575</xdr:rowOff>
    </xdr:from>
    <xdr:to>
      <xdr:col>68</xdr:col>
      <xdr:colOff>49987</xdr:colOff>
      <xdr:row>37</xdr:row>
      <xdr:rowOff>66675</xdr:rowOff>
    </xdr:to>
    <xdr:sp macro="" textlink="">
      <xdr:nvSpPr>
        <xdr:cNvPr id="55" name="Tile53">
          <a:extLst>
            <a:ext uri="{FF2B5EF4-FFF2-40B4-BE49-F238E27FC236}">
              <a16:creationId xmlns:a16="http://schemas.microsoft.com/office/drawing/2014/main" id="{56533716-3E10-4F89-B8E6-18FEF31F2A40}"/>
            </a:ext>
          </a:extLst>
        </xdr:cNvPr>
        <xdr:cNvSpPr/>
      </xdr:nvSpPr>
      <xdr:spPr>
        <a:xfrm>
          <a:off x="6081547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53</a:t>
          </a:r>
        </a:p>
      </xdr:txBody>
    </xdr:sp>
    <xdr:clientData/>
  </xdr:twoCellAnchor>
  <xdr:twoCellAnchor>
    <xdr:from>
      <xdr:col>69</xdr:col>
      <xdr:colOff>4231</xdr:colOff>
      <xdr:row>32</xdr:row>
      <xdr:rowOff>28575</xdr:rowOff>
    </xdr:from>
    <xdr:to>
      <xdr:col>73</xdr:col>
      <xdr:colOff>68671</xdr:colOff>
      <xdr:row>37</xdr:row>
      <xdr:rowOff>66675</xdr:rowOff>
    </xdr:to>
    <xdr:sp macro="" textlink="">
      <xdr:nvSpPr>
        <xdr:cNvPr id="56" name="Tile54">
          <a:extLst>
            <a:ext uri="{FF2B5EF4-FFF2-40B4-BE49-F238E27FC236}">
              <a16:creationId xmlns:a16="http://schemas.microsoft.com/office/drawing/2014/main" id="{80C64AE3-6F67-4FFB-9401-603F09BBAB36}"/>
            </a:ext>
          </a:extLst>
        </xdr:cNvPr>
        <xdr:cNvSpPr/>
      </xdr:nvSpPr>
      <xdr:spPr>
        <a:xfrm>
          <a:off x="6576481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54</a:t>
          </a:r>
        </a:p>
      </xdr:txBody>
    </xdr:sp>
    <xdr:clientData/>
  </xdr:twoCellAnchor>
  <xdr:twoCellAnchor>
    <xdr:from>
      <xdr:col>24</xdr:col>
      <xdr:colOff>83546</xdr:colOff>
      <xdr:row>36</xdr:row>
      <xdr:rowOff>76200</xdr:rowOff>
    </xdr:from>
    <xdr:to>
      <xdr:col>29</xdr:col>
      <xdr:colOff>52736</xdr:colOff>
      <xdr:row>42</xdr:row>
      <xdr:rowOff>19050</xdr:rowOff>
    </xdr:to>
    <xdr:sp macro="" textlink="">
      <xdr:nvSpPr>
        <xdr:cNvPr id="57" name="Tile55">
          <a:extLst>
            <a:ext uri="{FF2B5EF4-FFF2-40B4-BE49-F238E27FC236}">
              <a16:creationId xmlns:a16="http://schemas.microsoft.com/office/drawing/2014/main" id="{E9574183-2BB4-47AB-B66E-066B0582CB1A}"/>
            </a:ext>
          </a:extLst>
        </xdr:cNvPr>
        <xdr:cNvSpPr/>
      </xdr:nvSpPr>
      <xdr:spPr>
        <a:xfrm>
          <a:off x="2369546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55</a:t>
          </a:r>
        </a:p>
      </xdr:txBody>
    </xdr:sp>
    <xdr:clientData/>
  </xdr:twoCellAnchor>
  <xdr:twoCellAnchor>
    <xdr:from>
      <xdr:col>30</xdr:col>
      <xdr:colOff>6979</xdr:colOff>
      <xdr:row>36</xdr:row>
      <xdr:rowOff>76200</xdr:rowOff>
    </xdr:from>
    <xdr:to>
      <xdr:col>34</xdr:col>
      <xdr:colOff>71419</xdr:colOff>
      <xdr:row>42</xdr:row>
      <xdr:rowOff>19050</xdr:rowOff>
    </xdr:to>
    <xdr:sp macro="" textlink="">
      <xdr:nvSpPr>
        <xdr:cNvPr id="58" name="Tile56">
          <a:extLst>
            <a:ext uri="{FF2B5EF4-FFF2-40B4-BE49-F238E27FC236}">
              <a16:creationId xmlns:a16="http://schemas.microsoft.com/office/drawing/2014/main" id="{47D6BF5F-876D-4730-8EE8-6ED26C6E30DE}"/>
            </a:ext>
          </a:extLst>
        </xdr:cNvPr>
        <xdr:cNvSpPr/>
      </xdr:nvSpPr>
      <xdr:spPr>
        <a:xfrm>
          <a:off x="2864479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56</a:t>
          </a:r>
        </a:p>
      </xdr:txBody>
    </xdr:sp>
    <xdr:clientData/>
  </xdr:twoCellAnchor>
  <xdr:twoCellAnchor>
    <xdr:from>
      <xdr:col>35</xdr:col>
      <xdr:colOff>25663</xdr:colOff>
      <xdr:row>36</xdr:row>
      <xdr:rowOff>76200</xdr:rowOff>
    </xdr:from>
    <xdr:to>
      <xdr:col>39</xdr:col>
      <xdr:colOff>90103</xdr:colOff>
      <xdr:row>42</xdr:row>
      <xdr:rowOff>19050</xdr:rowOff>
    </xdr:to>
    <xdr:sp macro="" textlink="">
      <xdr:nvSpPr>
        <xdr:cNvPr id="59" name="Tile57">
          <a:extLst>
            <a:ext uri="{FF2B5EF4-FFF2-40B4-BE49-F238E27FC236}">
              <a16:creationId xmlns:a16="http://schemas.microsoft.com/office/drawing/2014/main" id="{B520584A-E952-4C4C-8D05-8C80603C9854}"/>
            </a:ext>
          </a:extLst>
        </xdr:cNvPr>
        <xdr:cNvSpPr/>
      </xdr:nvSpPr>
      <xdr:spPr>
        <a:xfrm>
          <a:off x="3359413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57</a:t>
          </a:r>
        </a:p>
      </xdr:txBody>
    </xdr:sp>
    <xdr:clientData/>
  </xdr:twoCellAnchor>
  <xdr:twoCellAnchor>
    <xdr:from>
      <xdr:col>40</xdr:col>
      <xdr:colOff>44347</xdr:colOff>
      <xdr:row>36</xdr:row>
      <xdr:rowOff>76200</xdr:rowOff>
    </xdr:from>
    <xdr:to>
      <xdr:col>45</xdr:col>
      <xdr:colOff>13537</xdr:colOff>
      <xdr:row>42</xdr:row>
      <xdr:rowOff>19050</xdr:rowOff>
    </xdr:to>
    <xdr:sp macro="" textlink="">
      <xdr:nvSpPr>
        <xdr:cNvPr id="60" name="Tile58">
          <a:extLst>
            <a:ext uri="{FF2B5EF4-FFF2-40B4-BE49-F238E27FC236}">
              <a16:creationId xmlns:a16="http://schemas.microsoft.com/office/drawing/2014/main" id="{07B7F817-716B-41BC-9F5E-C9F2985D7E03}"/>
            </a:ext>
          </a:extLst>
        </xdr:cNvPr>
        <xdr:cNvSpPr/>
      </xdr:nvSpPr>
      <xdr:spPr>
        <a:xfrm>
          <a:off x="3854347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58</a:t>
          </a:r>
        </a:p>
      </xdr:txBody>
    </xdr:sp>
    <xdr:clientData/>
  </xdr:twoCellAnchor>
  <xdr:twoCellAnchor>
    <xdr:from>
      <xdr:col>45</xdr:col>
      <xdr:colOff>63030</xdr:colOff>
      <xdr:row>36</xdr:row>
      <xdr:rowOff>76200</xdr:rowOff>
    </xdr:from>
    <xdr:to>
      <xdr:col>50</xdr:col>
      <xdr:colOff>32220</xdr:colOff>
      <xdr:row>42</xdr:row>
      <xdr:rowOff>19050</xdr:rowOff>
    </xdr:to>
    <xdr:sp macro="" textlink="">
      <xdr:nvSpPr>
        <xdr:cNvPr id="61" name="Tile59">
          <a:extLst>
            <a:ext uri="{FF2B5EF4-FFF2-40B4-BE49-F238E27FC236}">
              <a16:creationId xmlns:a16="http://schemas.microsoft.com/office/drawing/2014/main" id="{DA54DA17-CB70-472A-9AB3-BE670983CD2D}"/>
            </a:ext>
          </a:extLst>
        </xdr:cNvPr>
        <xdr:cNvSpPr/>
      </xdr:nvSpPr>
      <xdr:spPr>
        <a:xfrm>
          <a:off x="4349280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59</a:t>
          </a:r>
        </a:p>
      </xdr:txBody>
    </xdr:sp>
    <xdr:clientData/>
  </xdr:twoCellAnchor>
  <xdr:twoCellAnchor>
    <xdr:from>
      <xdr:col>50</xdr:col>
      <xdr:colOff>81714</xdr:colOff>
      <xdr:row>36</xdr:row>
      <xdr:rowOff>76200</xdr:rowOff>
    </xdr:from>
    <xdr:to>
      <xdr:col>55</xdr:col>
      <xdr:colOff>50904</xdr:colOff>
      <xdr:row>42</xdr:row>
      <xdr:rowOff>19050</xdr:rowOff>
    </xdr:to>
    <xdr:sp macro="" textlink="">
      <xdr:nvSpPr>
        <xdr:cNvPr id="62" name="Tile60">
          <a:extLst>
            <a:ext uri="{FF2B5EF4-FFF2-40B4-BE49-F238E27FC236}">
              <a16:creationId xmlns:a16="http://schemas.microsoft.com/office/drawing/2014/main" id="{77A8B1F7-21D0-4498-B5F3-98A09B957E5B}"/>
            </a:ext>
          </a:extLst>
        </xdr:cNvPr>
        <xdr:cNvSpPr/>
      </xdr:nvSpPr>
      <xdr:spPr>
        <a:xfrm>
          <a:off x="4844214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60</a:t>
          </a:r>
        </a:p>
      </xdr:txBody>
    </xdr:sp>
    <xdr:clientData/>
  </xdr:twoCellAnchor>
  <xdr:twoCellAnchor>
    <xdr:from>
      <xdr:col>56</xdr:col>
      <xdr:colOff>5147</xdr:colOff>
      <xdr:row>36</xdr:row>
      <xdr:rowOff>76200</xdr:rowOff>
    </xdr:from>
    <xdr:to>
      <xdr:col>60</xdr:col>
      <xdr:colOff>69587</xdr:colOff>
      <xdr:row>42</xdr:row>
      <xdr:rowOff>19050</xdr:rowOff>
    </xdr:to>
    <xdr:sp macro="" textlink="">
      <xdr:nvSpPr>
        <xdr:cNvPr id="63" name="Tile61">
          <a:extLst>
            <a:ext uri="{FF2B5EF4-FFF2-40B4-BE49-F238E27FC236}">
              <a16:creationId xmlns:a16="http://schemas.microsoft.com/office/drawing/2014/main" id="{301FE737-88A0-4BD4-A9BE-3162D4310921}"/>
            </a:ext>
          </a:extLst>
        </xdr:cNvPr>
        <xdr:cNvSpPr/>
      </xdr:nvSpPr>
      <xdr:spPr>
        <a:xfrm>
          <a:off x="5339147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61</a:t>
          </a:r>
        </a:p>
      </xdr:txBody>
    </xdr:sp>
    <xdr:clientData/>
  </xdr:twoCellAnchor>
  <xdr:twoCellAnchor>
    <xdr:from>
      <xdr:col>61</xdr:col>
      <xdr:colOff>23831</xdr:colOff>
      <xdr:row>36</xdr:row>
      <xdr:rowOff>76200</xdr:rowOff>
    </xdr:from>
    <xdr:to>
      <xdr:col>65</xdr:col>
      <xdr:colOff>88271</xdr:colOff>
      <xdr:row>42</xdr:row>
      <xdr:rowOff>19050</xdr:rowOff>
    </xdr:to>
    <xdr:sp macro="" textlink="">
      <xdr:nvSpPr>
        <xdr:cNvPr id="64" name="Tile62">
          <a:extLst>
            <a:ext uri="{FF2B5EF4-FFF2-40B4-BE49-F238E27FC236}">
              <a16:creationId xmlns:a16="http://schemas.microsoft.com/office/drawing/2014/main" id="{2A8A5EF8-DD01-41CD-8E99-E9424E314E5D}"/>
            </a:ext>
          </a:extLst>
        </xdr:cNvPr>
        <xdr:cNvSpPr/>
      </xdr:nvSpPr>
      <xdr:spPr>
        <a:xfrm>
          <a:off x="5834081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62</a:t>
          </a:r>
        </a:p>
      </xdr:txBody>
    </xdr:sp>
    <xdr:clientData/>
  </xdr:twoCellAnchor>
  <xdr:twoCellAnchor>
    <xdr:from>
      <xdr:col>66</xdr:col>
      <xdr:colOff>42514</xdr:colOff>
      <xdr:row>36</xdr:row>
      <xdr:rowOff>76200</xdr:rowOff>
    </xdr:from>
    <xdr:to>
      <xdr:col>71</xdr:col>
      <xdr:colOff>11704</xdr:colOff>
      <xdr:row>42</xdr:row>
      <xdr:rowOff>19050</xdr:rowOff>
    </xdr:to>
    <xdr:sp macro="" textlink="">
      <xdr:nvSpPr>
        <xdr:cNvPr id="65" name="Tile63">
          <a:extLst>
            <a:ext uri="{FF2B5EF4-FFF2-40B4-BE49-F238E27FC236}">
              <a16:creationId xmlns:a16="http://schemas.microsoft.com/office/drawing/2014/main" id="{5984B05A-E577-4BEE-8AF2-E1DDF2BD62B0}"/>
            </a:ext>
          </a:extLst>
        </xdr:cNvPr>
        <xdr:cNvSpPr/>
      </xdr:nvSpPr>
      <xdr:spPr>
        <a:xfrm>
          <a:off x="6329014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63</a:t>
          </a:r>
        </a:p>
      </xdr:txBody>
    </xdr:sp>
    <xdr:clientData/>
  </xdr:twoCellAnchor>
  <xdr:twoCellAnchor>
    <xdr:from>
      <xdr:col>27</xdr:col>
      <xdr:colOff>45263</xdr:colOff>
      <xdr:row>41</xdr:row>
      <xdr:rowOff>28575</xdr:rowOff>
    </xdr:from>
    <xdr:to>
      <xdr:col>32</xdr:col>
      <xdr:colOff>14453</xdr:colOff>
      <xdr:row>46</xdr:row>
      <xdr:rowOff>66675</xdr:rowOff>
    </xdr:to>
    <xdr:sp macro="" textlink="">
      <xdr:nvSpPr>
        <xdr:cNvPr id="66" name="Tile64">
          <a:extLst>
            <a:ext uri="{FF2B5EF4-FFF2-40B4-BE49-F238E27FC236}">
              <a16:creationId xmlns:a16="http://schemas.microsoft.com/office/drawing/2014/main" id="{241A061A-10FD-4777-B040-0832833015A4}"/>
            </a:ext>
          </a:extLst>
        </xdr:cNvPr>
        <xdr:cNvSpPr/>
      </xdr:nvSpPr>
      <xdr:spPr>
        <a:xfrm>
          <a:off x="2617013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64</a:t>
          </a:r>
        </a:p>
      </xdr:txBody>
    </xdr:sp>
    <xdr:clientData/>
  </xdr:twoCellAnchor>
  <xdr:twoCellAnchor>
    <xdr:from>
      <xdr:col>32</xdr:col>
      <xdr:colOff>63946</xdr:colOff>
      <xdr:row>41</xdr:row>
      <xdr:rowOff>28575</xdr:rowOff>
    </xdr:from>
    <xdr:to>
      <xdr:col>37</xdr:col>
      <xdr:colOff>33136</xdr:colOff>
      <xdr:row>46</xdr:row>
      <xdr:rowOff>66675</xdr:rowOff>
    </xdr:to>
    <xdr:sp macro="" textlink="">
      <xdr:nvSpPr>
        <xdr:cNvPr id="67" name="Tile65">
          <a:extLst>
            <a:ext uri="{FF2B5EF4-FFF2-40B4-BE49-F238E27FC236}">
              <a16:creationId xmlns:a16="http://schemas.microsoft.com/office/drawing/2014/main" id="{9C7D608F-674C-4663-AFEF-5CB980CFE567}"/>
            </a:ext>
          </a:extLst>
        </xdr:cNvPr>
        <xdr:cNvSpPr/>
      </xdr:nvSpPr>
      <xdr:spPr>
        <a:xfrm>
          <a:off x="3111946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65</a:t>
          </a:r>
        </a:p>
      </xdr:txBody>
    </xdr:sp>
    <xdr:clientData/>
  </xdr:twoCellAnchor>
  <xdr:twoCellAnchor>
    <xdr:from>
      <xdr:col>37</xdr:col>
      <xdr:colOff>82630</xdr:colOff>
      <xdr:row>41</xdr:row>
      <xdr:rowOff>28575</xdr:rowOff>
    </xdr:from>
    <xdr:to>
      <xdr:col>42</xdr:col>
      <xdr:colOff>51820</xdr:colOff>
      <xdr:row>46</xdr:row>
      <xdr:rowOff>66675</xdr:rowOff>
    </xdr:to>
    <xdr:sp macro="" textlink="">
      <xdr:nvSpPr>
        <xdr:cNvPr id="68" name="Tile66">
          <a:extLst>
            <a:ext uri="{FF2B5EF4-FFF2-40B4-BE49-F238E27FC236}">
              <a16:creationId xmlns:a16="http://schemas.microsoft.com/office/drawing/2014/main" id="{611D1347-07D0-412D-B8FC-F35989D26A77}"/>
            </a:ext>
          </a:extLst>
        </xdr:cNvPr>
        <xdr:cNvSpPr/>
      </xdr:nvSpPr>
      <xdr:spPr>
        <a:xfrm>
          <a:off x="3606880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66</a:t>
          </a:r>
        </a:p>
      </xdr:txBody>
    </xdr:sp>
    <xdr:clientData/>
  </xdr:twoCellAnchor>
  <xdr:twoCellAnchor>
    <xdr:from>
      <xdr:col>43</xdr:col>
      <xdr:colOff>6063</xdr:colOff>
      <xdr:row>41</xdr:row>
      <xdr:rowOff>28575</xdr:rowOff>
    </xdr:from>
    <xdr:to>
      <xdr:col>47</xdr:col>
      <xdr:colOff>70503</xdr:colOff>
      <xdr:row>46</xdr:row>
      <xdr:rowOff>66675</xdr:rowOff>
    </xdr:to>
    <xdr:sp macro="" textlink="">
      <xdr:nvSpPr>
        <xdr:cNvPr id="69" name="Tile67">
          <a:extLst>
            <a:ext uri="{FF2B5EF4-FFF2-40B4-BE49-F238E27FC236}">
              <a16:creationId xmlns:a16="http://schemas.microsoft.com/office/drawing/2014/main" id="{56ADABB3-B026-452C-9FCB-43773E915E9C}"/>
            </a:ext>
          </a:extLst>
        </xdr:cNvPr>
        <xdr:cNvSpPr/>
      </xdr:nvSpPr>
      <xdr:spPr>
        <a:xfrm>
          <a:off x="4101813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67</a:t>
          </a:r>
        </a:p>
      </xdr:txBody>
    </xdr:sp>
    <xdr:clientData/>
  </xdr:twoCellAnchor>
  <xdr:twoCellAnchor>
    <xdr:from>
      <xdr:col>48</xdr:col>
      <xdr:colOff>24747</xdr:colOff>
      <xdr:row>41</xdr:row>
      <xdr:rowOff>28575</xdr:rowOff>
    </xdr:from>
    <xdr:to>
      <xdr:col>52</xdr:col>
      <xdr:colOff>89187</xdr:colOff>
      <xdr:row>46</xdr:row>
      <xdr:rowOff>66675</xdr:rowOff>
    </xdr:to>
    <xdr:sp macro="" textlink="">
      <xdr:nvSpPr>
        <xdr:cNvPr id="70" name="Tile68">
          <a:extLst>
            <a:ext uri="{FF2B5EF4-FFF2-40B4-BE49-F238E27FC236}">
              <a16:creationId xmlns:a16="http://schemas.microsoft.com/office/drawing/2014/main" id="{1BE7E619-73C3-4ACC-A58F-966295CC1DFA}"/>
            </a:ext>
          </a:extLst>
        </xdr:cNvPr>
        <xdr:cNvSpPr/>
      </xdr:nvSpPr>
      <xdr:spPr>
        <a:xfrm>
          <a:off x="4596747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68</a:t>
          </a:r>
        </a:p>
      </xdr:txBody>
    </xdr:sp>
    <xdr:clientData/>
  </xdr:twoCellAnchor>
  <xdr:twoCellAnchor>
    <xdr:from>
      <xdr:col>53</xdr:col>
      <xdr:colOff>43430</xdr:colOff>
      <xdr:row>41</xdr:row>
      <xdr:rowOff>28575</xdr:rowOff>
    </xdr:from>
    <xdr:to>
      <xdr:col>58</xdr:col>
      <xdr:colOff>12620</xdr:colOff>
      <xdr:row>46</xdr:row>
      <xdr:rowOff>66675</xdr:rowOff>
    </xdr:to>
    <xdr:sp macro="" textlink="">
      <xdr:nvSpPr>
        <xdr:cNvPr id="71" name="Tile69">
          <a:extLst>
            <a:ext uri="{FF2B5EF4-FFF2-40B4-BE49-F238E27FC236}">
              <a16:creationId xmlns:a16="http://schemas.microsoft.com/office/drawing/2014/main" id="{CE802D69-B842-4615-83C1-BCD56D099C3F}"/>
            </a:ext>
          </a:extLst>
        </xdr:cNvPr>
        <xdr:cNvSpPr/>
      </xdr:nvSpPr>
      <xdr:spPr>
        <a:xfrm>
          <a:off x="5091680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69</a:t>
          </a:r>
        </a:p>
      </xdr:txBody>
    </xdr:sp>
    <xdr:clientData/>
  </xdr:twoCellAnchor>
  <xdr:twoCellAnchor>
    <xdr:from>
      <xdr:col>58</xdr:col>
      <xdr:colOff>62114</xdr:colOff>
      <xdr:row>41</xdr:row>
      <xdr:rowOff>28575</xdr:rowOff>
    </xdr:from>
    <xdr:to>
      <xdr:col>63</xdr:col>
      <xdr:colOff>31304</xdr:colOff>
      <xdr:row>46</xdr:row>
      <xdr:rowOff>66675</xdr:rowOff>
    </xdr:to>
    <xdr:sp macro="" textlink="">
      <xdr:nvSpPr>
        <xdr:cNvPr id="72" name="Tile70">
          <a:extLst>
            <a:ext uri="{FF2B5EF4-FFF2-40B4-BE49-F238E27FC236}">
              <a16:creationId xmlns:a16="http://schemas.microsoft.com/office/drawing/2014/main" id="{5AE7CA1C-6A04-4087-B0F4-E3E54BEF2814}"/>
            </a:ext>
          </a:extLst>
        </xdr:cNvPr>
        <xdr:cNvSpPr/>
      </xdr:nvSpPr>
      <xdr:spPr>
        <a:xfrm>
          <a:off x="5586614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70</a:t>
          </a:r>
        </a:p>
      </xdr:txBody>
    </xdr:sp>
    <xdr:clientData/>
  </xdr:twoCellAnchor>
  <xdr:twoCellAnchor>
    <xdr:from>
      <xdr:col>63</xdr:col>
      <xdr:colOff>80797</xdr:colOff>
      <xdr:row>41</xdr:row>
      <xdr:rowOff>28575</xdr:rowOff>
    </xdr:from>
    <xdr:to>
      <xdr:col>68</xdr:col>
      <xdr:colOff>49987</xdr:colOff>
      <xdr:row>46</xdr:row>
      <xdr:rowOff>66675</xdr:rowOff>
    </xdr:to>
    <xdr:sp macro="" textlink="">
      <xdr:nvSpPr>
        <xdr:cNvPr id="73" name="Tile71">
          <a:extLst>
            <a:ext uri="{FF2B5EF4-FFF2-40B4-BE49-F238E27FC236}">
              <a16:creationId xmlns:a16="http://schemas.microsoft.com/office/drawing/2014/main" id="{C2BF43AF-A93C-4F12-88BC-CD29E87A671D}"/>
            </a:ext>
          </a:extLst>
        </xdr:cNvPr>
        <xdr:cNvSpPr/>
      </xdr:nvSpPr>
      <xdr:spPr>
        <a:xfrm>
          <a:off x="6081547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71</a:t>
          </a:r>
        </a:p>
      </xdr:txBody>
    </xdr:sp>
    <xdr:clientData/>
  </xdr:twoCellAnchor>
  <xdr:twoCellAnchor>
    <xdr:from>
      <xdr:col>30</xdr:col>
      <xdr:colOff>6979</xdr:colOff>
      <xdr:row>45</xdr:row>
      <xdr:rowOff>76200</xdr:rowOff>
    </xdr:from>
    <xdr:to>
      <xdr:col>34</xdr:col>
      <xdr:colOff>71419</xdr:colOff>
      <xdr:row>51</xdr:row>
      <xdr:rowOff>19050</xdr:rowOff>
    </xdr:to>
    <xdr:sp macro="" textlink="">
      <xdr:nvSpPr>
        <xdr:cNvPr id="74" name="Tile72">
          <a:extLst>
            <a:ext uri="{FF2B5EF4-FFF2-40B4-BE49-F238E27FC236}">
              <a16:creationId xmlns:a16="http://schemas.microsoft.com/office/drawing/2014/main" id="{431638AF-3CA0-4566-B147-F9DA69D7D8A6}"/>
            </a:ext>
          </a:extLst>
        </xdr:cNvPr>
        <xdr:cNvSpPr/>
      </xdr:nvSpPr>
      <xdr:spPr>
        <a:xfrm>
          <a:off x="2864479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72</a:t>
          </a:r>
        </a:p>
      </xdr:txBody>
    </xdr:sp>
    <xdr:clientData/>
  </xdr:twoCellAnchor>
  <xdr:twoCellAnchor>
    <xdr:from>
      <xdr:col>35</xdr:col>
      <xdr:colOff>25663</xdr:colOff>
      <xdr:row>45</xdr:row>
      <xdr:rowOff>76200</xdr:rowOff>
    </xdr:from>
    <xdr:to>
      <xdr:col>39</xdr:col>
      <xdr:colOff>90103</xdr:colOff>
      <xdr:row>51</xdr:row>
      <xdr:rowOff>19050</xdr:rowOff>
    </xdr:to>
    <xdr:sp macro="" textlink="">
      <xdr:nvSpPr>
        <xdr:cNvPr id="75" name="Tile73">
          <a:extLst>
            <a:ext uri="{FF2B5EF4-FFF2-40B4-BE49-F238E27FC236}">
              <a16:creationId xmlns:a16="http://schemas.microsoft.com/office/drawing/2014/main" id="{2BA14464-E7F2-4F55-BA88-8E6F8C51C5BC}"/>
            </a:ext>
          </a:extLst>
        </xdr:cNvPr>
        <xdr:cNvSpPr/>
      </xdr:nvSpPr>
      <xdr:spPr>
        <a:xfrm>
          <a:off x="3359413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73</a:t>
          </a:r>
        </a:p>
      </xdr:txBody>
    </xdr:sp>
    <xdr:clientData/>
  </xdr:twoCellAnchor>
  <xdr:twoCellAnchor>
    <xdr:from>
      <xdr:col>40</xdr:col>
      <xdr:colOff>44347</xdr:colOff>
      <xdr:row>45</xdr:row>
      <xdr:rowOff>76200</xdr:rowOff>
    </xdr:from>
    <xdr:to>
      <xdr:col>45</xdr:col>
      <xdr:colOff>13537</xdr:colOff>
      <xdr:row>51</xdr:row>
      <xdr:rowOff>19050</xdr:rowOff>
    </xdr:to>
    <xdr:sp macro="" textlink="">
      <xdr:nvSpPr>
        <xdr:cNvPr id="76" name="Tile74">
          <a:extLst>
            <a:ext uri="{FF2B5EF4-FFF2-40B4-BE49-F238E27FC236}">
              <a16:creationId xmlns:a16="http://schemas.microsoft.com/office/drawing/2014/main" id="{F798CF12-1384-4CE5-8193-640A0C08E051}"/>
            </a:ext>
          </a:extLst>
        </xdr:cNvPr>
        <xdr:cNvSpPr/>
      </xdr:nvSpPr>
      <xdr:spPr>
        <a:xfrm>
          <a:off x="3854347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74</a:t>
          </a:r>
        </a:p>
      </xdr:txBody>
    </xdr:sp>
    <xdr:clientData/>
  </xdr:twoCellAnchor>
  <xdr:twoCellAnchor>
    <xdr:from>
      <xdr:col>45</xdr:col>
      <xdr:colOff>63030</xdr:colOff>
      <xdr:row>45</xdr:row>
      <xdr:rowOff>76200</xdr:rowOff>
    </xdr:from>
    <xdr:to>
      <xdr:col>50</xdr:col>
      <xdr:colOff>32220</xdr:colOff>
      <xdr:row>51</xdr:row>
      <xdr:rowOff>19050</xdr:rowOff>
    </xdr:to>
    <xdr:sp macro="" textlink="">
      <xdr:nvSpPr>
        <xdr:cNvPr id="77" name="Tile75">
          <a:extLst>
            <a:ext uri="{FF2B5EF4-FFF2-40B4-BE49-F238E27FC236}">
              <a16:creationId xmlns:a16="http://schemas.microsoft.com/office/drawing/2014/main" id="{7FF11CF3-215D-4E3D-8728-540A815A3BF6}"/>
            </a:ext>
          </a:extLst>
        </xdr:cNvPr>
        <xdr:cNvSpPr/>
      </xdr:nvSpPr>
      <xdr:spPr>
        <a:xfrm>
          <a:off x="4349280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75</a:t>
          </a:r>
        </a:p>
      </xdr:txBody>
    </xdr:sp>
    <xdr:clientData/>
  </xdr:twoCellAnchor>
  <xdr:twoCellAnchor>
    <xdr:from>
      <xdr:col>50</xdr:col>
      <xdr:colOff>81714</xdr:colOff>
      <xdr:row>45</xdr:row>
      <xdr:rowOff>76200</xdr:rowOff>
    </xdr:from>
    <xdr:to>
      <xdr:col>55</xdr:col>
      <xdr:colOff>50904</xdr:colOff>
      <xdr:row>51</xdr:row>
      <xdr:rowOff>19050</xdr:rowOff>
    </xdr:to>
    <xdr:sp macro="" textlink="">
      <xdr:nvSpPr>
        <xdr:cNvPr id="78" name="Tile76">
          <a:extLst>
            <a:ext uri="{FF2B5EF4-FFF2-40B4-BE49-F238E27FC236}">
              <a16:creationId xmlns:a16="http://schemas.microsoft.com/office/drawing/2014/main" id="{B25F72FE-5727-4E59-A6F0-5A6DFD5BE7FB}"/>
            </a:ext>
          </a:extLst>
        </xdr:cNvPr>
        <xdr:cNvSpPr/>
      </xdr:nvSpPr>
      <xdr:spPr>
        <a:xfrm>
          <a:off x="4844214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76</a:t>
          </a:r>
        </a:p>
      </xdr:txBody>
    </xdr:sp>
    <xdr:clientData/>
  </xdr:twoCellAnchor>
  <xdr:twoCellAnchor>
    <xdr:from>
      <xdr:col>56</xdr:col>
      <xdr:colOff>5147</xdr:colOff>
      <xdr:row>45</xdr:row>
      <xdr:rowOff>76200</xdr:rowOff>
    </xdr:from>
    <xdr:to>
      <xdr:col>60</xdr:col>
      <xdr:colOff>69587</xdr:colOff>
      <xdr:row>51</xdr:row>
      <xdr:rowOff>19050</xdr:rowOff>
    </xdr:to>
    <xdr:sp macro="" textlink="">
      <xdr:nvSpPr>
        <xdr:cNvPr id="79" name="Tile77">
          <a:extLst>
            <a:ext uri="{FF2B5EF4-FFF2-40B4-BE49-F238E27FC236}">
              <a16:creationId xmlns:a16="http://schemas.microsoft.com/office/drawing/2014/main" id="{5CF3C366-03EA-4037-9EB4-9AB96ED0C07A}"/>
            </a:ext>
          </a:extLst>
        </xdr:cNvPr>
        <xdr:cNvSpPr/>
      </xdr:nvSpPr>
      <xdr:spPr>
        <a:xfrm>
          <a:off x="5339147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77</a:t>
          </a:r>
        </a:p>
      </xdr:txBody>
    </xdr:sp>
    <xdr:clientData/>
  </xdr:twoCellAnchor>
  <xdr:twoCellAnchor>
    <xdr:from>
      <xdr:col>61</xdr:col>
      <xdr:colOff>23831</xdr:colOff>
      <xdr:row>45</xdr:row>
      <xdr:rowOff>76200</xdr:rowOff>
    </xdr:from>
    <xdr:to>
      <xdr:col>65</xdr:col>
      <xdr:colOff>88271</xdr:colOff>
      <xdr:row>51</xdr:row>
      <xdr:rowOff>19050</xdr:rowOff>
    </xdr:to>
    <xdr:sp macro="" textlink="">
      <xdr:nvSpPr>
        <xdr:cNvPr id="80" name="Tile78">
          <a:extLst>
            <a:ext uri="{FF2B5EF4-FFF2-40B4-BE49-F238E27FC236}">
              <a16:creationId xmlns:a16="http://schemas.microsoft.com/office/drawing/2014/main" id="{9B71D976-C3E4-4FEE-8F16-2F77D4FA19C2}"/>
            </a:ext>
          </a:extLst>
        </xdr:cNvPr>
        <xdr:cNvSpPr/>
      </xdr:nvSpPr>
      <xdr:spPr>
        <a:xfrm>
          <a:off x="5834081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78</a:t>
          </a:r>
        </a:p>
      </xdr:txBody>
    </xdr:sp>
    <xdr:clientData/>
  </xdr:twoCellAnchor>
  <xdr:twoCellAnchor>
    <xdr:from>
      <xdr:col>38</xdr:col>
      <xdr:colOff>0</xdr:colOff>
      <xdr:row>2</xdr:row>
      <xdr:rowOff>0</xdr:rowOff>
    </xdr:from>
    <xdr:to>
      <xdr:col>52</xdr:col>
      <xdr:colOff>0</xdr:colOff>
      <xdr:row>5</xdr:row>
      <xdr:rowOff>0</xdr:rowOff>
    </xdr:to>
    <xdr:sp macro="[0]!export_level.export_level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6163C95D-68B3-420D-97B2-D2ECAB3E20C1}"/>
            </a:ext>
          </a:extLst>
        </xdr:cNvPr>
        <xdr:cNvSpPr/>
      </xdr:nvSpPr>
      <xdr:spPr>
        <a:xfrm>
          <a:off x="3619500" y="190500"/>
          <a:ext cx="13335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6979</xdr:colOff>
      <xdr:row>9</xdr:row>
      <xdr:rowOff>76200</xdr:rowOff>
    </xdr:from>
    <xdr:to>
      <xdr:col>34</xdr:col>
      <xdr:colOff>71419</xdr:colOff>
      <xdr:row>15</xdr:row>
      <xdr:rowOff>19050</xdr:rowOff>
    </xdr:to>
    <xdr:sp macro="" textlink="">
      <xdr:nvSpPr>
        <xdr:cNvPr id="2" name="Tile0">
          <a:extLst>
            <a:ext uri="{FF2B5EF4-FFF2-40B4-BE49-F238E27FC236}">
              <a16:creationId xmlns:a16="http://schemas.microsoft.com/office/drawing/2014/main" id="{B7697280-703E-40C7-B16A-BB23ED17BDB5}"/>
            </a:ext>
          </a:extLst>
        </xdr:cNvPr>
        <xdr:cNvSpPr/>
      </xdr:nvSpPr>
      <xdr:spPr>
        <a:xfrm>
          <a:off x="2864479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rgbClr val="FFFF00"/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0</a:t>
          </a:r>
        </a:p>
      </xdr:txBody>
    </xdr:sp>
    <xdr:clientData/>
  </xdr:twoCellAnchor>
  <xdr:twoCellAnchor>
    <xdr:from>
      <xdr:col>35</xdr:col>
      <xdr:colOff>25663</xdr:colOff>
      <xdr:row>9</xdr:row>
      <xdr:rowOff>76200</xdr:rowOff>
    </xdr:from>
    <xdr:to>
      <xdr:col>39</xdr:col>
      <xdr:colOff>90103</xdr:colOff>
      <xdr:row>15</xdr:row>
      <xdr:rowOff>19050</xdr:rowOff>
    </xdr:to>
    <xdr:sp macro="" textlink="">
      <xdr:nvSpPr>
        <xdr:cNvPr id="3" name="Tile1">
          <a:extLst>
            <a:ext uri="{FF2B5EF4-FFF2-40B4-BE49-F238E27FC236}">
              <a16:creationId xmlns:a16="http://schemas.microsoft.com/office/drawing/2014/main" id="{91648B5B-6D15-4621-B70C-29AD8CC7E9B1}"/>
            </a:ext>
          </a:extLst>
        </xdr:cNvPr>
        <xdr:cNvSpPr/>
      </xdr:nvSpPr>
      <xdr:spPr>
        <a:xfrm>
          <a:off x="3359413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</a:t>
          </a:r>
        </a:p>
      </xdr:txBody>
    </xdr:sp>
    <xdr:clientData/>
  </xdr:twoCellAnchor>
  <xdr:twoCellAnchor>
    <xdr:from>
      <xdr:col>40</xdr:col>
      <xdr:colOff>44347</xdr:colOff>
      <xdr:row>9</xdr:row>
      <xdr:rowOff>76200</xdr:rowOff>
    </xdr:from>
    <xdr:to>
      <xdr:col>45</xdr:col>
      <xdr:colOff>13537</xdr:colOff>
      <xdr:row>15</xdr:row>
      <xdr:rowOff>19050</xdr:rowOff>
    </xdr:to>
    <xdr:sp macro="" textlink="">
      <xdr:nvSpPr>
        <xdr:cNvPr id="4" name="Tile2">
          <a:extLst>
            <a:ext uri="{FF2B5EF4-FFF2-40B4-BE49-F238E27FC236}">
              <a16:creationId xmlns:a16="http://schemas.microsoft.com/office/drawing/2014/main" id="{BC5CE673-70A9-40D9-A8E3-2617100C2830}"/>
            </a:ext>
          </a:extLst>
        </xdr:cNvPr>
        <xdr:cNvSpPr/>
      </xdr:nvSpPr>
      <xdr:spPr>
        <a:xfrm>
          <a:off x="3854347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</a:t>
          </a:r>
        </a:p>
      </xdr:txBody>
    </xdr:sp>
    <xdr:clientData/>
  </xdr:twoCellAnchor>
  <xdr:twoCellAnchor>
    <xdr:from>
      <xdr:col>45</xdr:col>
      <xdr:colOff>63030</xdr:colOff>
      <xdr:row>9</xdr:row>
      <xdr:rowOff>76200</xdr:rowOff>
    </xdr:from>
    <xdr:to>
      <xdr:col>50</xdr:col>
      <xdr:colOff>32220</xdr:colOff>
      <xdr:row>15</xdr:row>
      <xdr:rowOff>19050</xdr:rowOff>
    </xdr:to>
    <xdr:sp macro="" textlink="">
      <xdr:nvSpPr>
        <xdr:cNvPr id="5" name="Tile3">
          <a:extLst>
            <a:ext uri="{FF2B5EF4-FFF2-40B4-BE49-F238E27FC236}">
              <a16:creationId xmlns:a16="http://schemas.microsoft.com/office/drawing/2014/main" id="{4F10E704-A3AB-4ED6-8F07-6131B9035B73}"/>
            </a:ext>
          </a:extLst>
        </xdr:cNvPr>
        <xdr:cNvSpPr/>
      </xdr:nvSpPr>
      <xdr:spPr>
        <a:xfrm>
          <a:off x="4349280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</a:t>
          </a:r>
        </a:p>
      </xdr:txBody>
    </xdr:sp>
    <xdr:clientData/>
  </xdr:twoCellAnchor>
  <xdr:twoCellAnchor>
    <xdr:from>
      <xdr:col>50</xdr:col>
      <xdr:colOff>81714</xdr:colOff>
      <xdr:row>9</xdr:row>
      <xdr:rowOff>76200</xdr:rowOff>
    </xdr:from>
    <xdr:to>
      <xdr:col>55</xdr:col>
      <xdr:colOff>50904</xdr:colOff>
      <xdr:row>15</xdr:row>
      <xdr:rowOff>19050</xdr:rowOff>
    </xdr:to>
    <xdr:sp macro="" textlink="">
      <xdr:nvSpPr>
        <xdr:cNvPr id="6" name="Tile4">
          <a:extLst>
            <a:ext uri="{FF2B5EF4-FFF2-40B4-BE49-F238E27FC236}">
              <a16:creationId xmlns:a16="http://schemas.microsoft.com/office/drawing/2014/main" id="{794FF9A2-1890-46F7-861E-BEDD9F43B138}"/>
            </a:ext>
          </a:extLst>
        </xdr:cNvPr>
        <xdr:cNvSpPr/>
      </xdr:nvSpPr>
      <xdr:spPr>
        <a:xfrm>
          <a:off x="4844214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</a:t>
          </a:r>
        </a:p>
      </xdr:txBody>
    </xdr:sp>
    <xdr:clientData/>
  </xdr:twoCellAnchor>
  <xdr:twoCellAnchor>
    <xdr:from>
      <xdr:col>56</xdr:col>
      <xdr:colOff>5147</xdr:colOff>
      <xdr:row>9</xdr:row>
      <xdr:rowOff>76200</xdr:rowOff>
    </xdr:from>
    <xdr:to>
      <xdr:col>60</xdr:col>
      <xdr:colOff>69587</xdr:colOff>
      <xdr:row>15</xdr:row>
      <xdr:rowOff>19050</xdr:rowOff>
    </xdr:to>
    <xdr:sp macro="" textlink="">
      <xdr:nvSpPr>
        <xdr:cNvPr id="7" name="Tile5">
          <a:extLst>
            <a:ext uri="{FF2B5EF4-FFF2-40B4-BE49-F238E27FC236}">
              <a16:creationId xmlns:a16="http://schemas.microsoft.com/office/drawing/2014/main" id="{26921981-0F02-415F-A27B-52152D79F73D}"/>
            </a:ext>
          </a:extLst>
        </xdr:cNvPr>
        <xdr:cNvSpPr/>
      </xdr:nvSpPr>
      <xdr:spPr>
        <a:xfrm>
          <a:off x="5339147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</a:t>
          </a:r>
        </a:p>
      </xdr:txBody>
    </xdr:sp>
    <xdr:clientData/>
  </xdr:twoCellAnchor>
  <xdr:twoCellAnchor>
    <xdr:from>
      <xdr:col>61</xdr:col>
      <xdr:colOff>23831</xdr:colOff>
      <xdr:row>9</xdr:row>
      <xdr:rowOff>76200</xdr:rowOff>
    </xdr:from>
    <xdr:to>
      <xdr:col>65</xdr:col>
      <xdr:colOff>88271</xdr:colOff>
      <xdr:row>15</xdr:row>
      <xdr:rowOff>19050</xdr:rowOff>
    </xdr:to>
    <xdr:sp macro="" textlink="">
      <xdr:nvSpPr>
        <xdr:cNvPr id="8" name="Tile6">
          <a:extLst>
            <a:ext uri="{FF2B5EF4-FFF2-40B4-BE49-F238E27FC236}">
              <a16:creationId xmlns:a16="http://schemas.microsoft.com/office/drawing/2014/main" id="{53D889D1-74D0-4EA4-8022-D6ED3809D549}"/>
            </a:ext>
          </a:extLst>
        </xdr:cNvPr>
        <xdr:cNvSpPr/>
      </xdr:nvSpPr>
      <xdr:spPr>
        <a:xfrm>
          <a:off x="5834081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</a:t>
          </a:r>
        </a:p>
      </xdr:txBody>
    </xdr:sp>
    <xdr:clientData/>
  </xdr:twoCellAnchor>
  <xdr:twoCellAnchor>
    <xdr:from>
      <xdr:col>27</xdr:col>
      <xdr:colOff>45263</xdr:colOff>
      <xdr:row>14</xdr:row>
      <xdr:rowOff>28575</xdr:rowOff>
    </xdr:from>
    <xdr:to>
      <xdr:col>32</xdr:col>
      <xdr:colOff>14453</xdr:colOff>
      <xdr:row>19</xdr:row>
      <xdr:rowOff>66675</xdr:rowOff>
    </xdr:to>
    <xdr:sp macro="" textlink="">
      <xdr:nvSpPr>
        <xdr:cNvPr id="9" name="Tile7">
          <a:extLst>
            <a:ext uri="{FF2B5EF4-FFF2-40B4-BE49-F238E27FC236}">
              <a16:creationId xmlns:a16="http://schemas.microsoft.com/office/drawing/2014/main" id="{809AEC30-827B-4787-BC13-E0420B2089D3}"/>
            </a:ext>
          </a:extLst>
        </xdr:cNvPr>
        <xdr:cNvSpPr/>
      </xdr:nvSpPr>
      <xdr:spPr>
        <a:xfrm>
          <a:off x="2617013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</a:t>
          </a:r>
        </a:p>
      </xdr:txBody>
    </xdr:sp>
    <xdr:clientData/>
  </xdr:twoCellAnchor>
  <xdr:twoCellAnchor>
    <xdr:from>
      <xdr:col>32</xdr:col>
      <xdr:colOff>63946</xdr:colOff>
      <xdr:row>14</xdr:row>
      <xdr:rowOff>28575</xdr:rowOff>
    </xdr:from>
    <xdr:to>
      <xdr:col>37</xdr:col>
      <xdr:colOff>33136</xdr:colOff>
      <xdr:row>19</xdr:row>
      <xdr:rowOff>66675</xdr:rowOff>
    </xdr:to>
    <xdr:sp macro="" textlink="">
      <xdr:nvSpPr>
        <xdr:cNvPr id="10" name="Tile8">
          <a:extLst>
            <a:ext uri="{FF2B5EF4-FFF2-40B4-BE49-F238E27FC236}">
              <a16:creationId xmlns:a16="http://schemas.microsoft.com/office/drawing/2014/main" id="{D4DA7E0E-81F9-4D8A-9894-A6397F9E5176}"/>
            </a:ext>
          </a:extLst>
        </xdr:cNvPr>
        <xdr:cNvSpPr/>
      </xdr:nvSpPr>
      <xdr:spPr>
        <a:xfrm>
          <a:off x="3111946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8</a:t>
          </a:r>
        </a:p>
      </xdr:txBody>
    </xdr:sp>
    <xdr:clientData/>
  </xdr:twoCellAnchor>
  <xdr:twoCellAnchor>
    <xdr:from>
      <xdr:col>37</xdr:col>
      <xdr:colOff>82630</xdr:colOff>
      <xdr:row>14</xdr:row>
      <xdr:rowOff>28575</xdr:rowOff>
    </xdr:from>
    <xdr:to>
      <xdr:col>42</xdr:col>
      <xdr:colOff>51820</xdr:colOff>
      <xdr:row>19</xdr:row>
      <xdr:rowOff>66675</xdr:rowOff>
    </xdr:to>
    <xdr:sp macro="" textlink="">
      <xdr:nvSpPr>
        <xdr:cNvPr id="11" name="Tile9">
          <a:extLst>
            <a:ext uri="{FF2B5EF4-FFF2-40B4-BE49-F238E27FC236}">
              <a16:creationId xmlns:a16="http://schemas.microsoft.com/office/drawing/2014/main" id="{DE969DDA-8A1D-4D24-B787-2E8FE855B270}"/>
            </a:ext>
          </a:extLst>
        </xdr:cNvPr>
        <xdr:cNvSpPr/>
      </xdr:nvSpPr>
      <xdr:spPr>
        <a:xfrm>
          <a:off x="3606880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9</a:t>
          </a:r>
        </a:p>
      </xdr:txBody>
    </xdr:sp>
    <xdr:clientData/>
  </xdr:twoCellAnchor>
  <xdr:twoCellAnchor>
    <xdr:from>
      <xdr:col>43</xdr:col>
      <xdr:colOff>6063</xdr:colOff>
      <xdr:row>14</xdr:row>
      <xdr:rowOff>28575</xdr:rowOff>
    </xdr:from>
    <xdr:to>
      <xdr:col>47</xdr:col>
      <xdr:colOff>70503</xdr:colOff>
      <xdr:row>19</xdr:row>
      <xdr:rowOff>66675</xdr:rowOff>
    </xdr:to>
    <xdr:sp macro="" textlink="">
      <xdr:nvSpPr>
        <xdr:cNvPr id="12" name="Tile10">
          <a:extLst>
            <a:ext uri="{FF2B5EF4-FFF2-40B4-BE49-F238E27FC236}">
              <a16:creationId xmlns:a16="http://schemas.microsoft.com/office/drawing/2014/main" id="{618F6796-1E38-4158-92A9-88F5D0EC2C3F}"/>
            </a:ext>
          </a:extLst>
        </xdr:cNvPr>
        <xdr:cNvSpPr/>
      </xdr:nvSpPr>
      <xdr:spPr>
        <a:xfrm>
          <a:off x="4101813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10</a:t>
          </a:r>
        </a:p>
      </xdr:txBody>
    </xdr:sp>
    <xdr:clientData/>
  </xdr:twoCellAnchor>
  <xdr:twoCellAnchor>
    <xdr:from>
      <xdr:col>48</xdr:col>
      <xdr:colOff>24747</xdr:colOff>
      <xdr:row>14</xdr:row>
      <xdr:rowOff>28575</xdr:rowOff>
    </xdr:from>
    <xdr:to>
      <xdr:col>52</xdr:col>
      <xdr:colOff>89187</xdr:colOff>
      <xdr:row>19</xdr:row>
      <xdr:rowOff>66675</xdr:rowOff>
    </xdr:to>
    <xdr:sp macro="" textlink="">
      <xdr:nvSpPr>
        <xdr:cNvPr id="13" name="Tile11">
          <a:extLst>
            <a:ext uri="{FF2B5EF4-FFF2-40B4-BE49-F238E27FC236}">
              <a16:creationId xmlns:a16="http://schemas.microsoft.com/office/drawing/2014/main" id="{B054E6DC-F9A9-48C7-9C35-602E1867C318}"/>
            </a:ext>
          </a:extLst>
        </xdr:cNvPr>
        <xdr:cNvSpPr/>
      </xdr:nvSpPr>
      <xdr:spPr>
        <a:xfrm>
          <a:off x="4596747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11</a:t>
          </a:r>
        </a:p>
      </xdr:txBody>
    </xdr:sp>
    <xdr:clientData/>
  </xdr:twoCellAnchor>
  <xdr:twoCellAnchor>
    <xdr:from>
      <xdr:col>53</xdr:col>
      <xdr:colOff>43430</xdr:colOff>
      <xdr:row>14</xdr:row>
      <xdr:rowOff>28575</xdr:rowOff>
    </xdr:from>
    <xdr:to>
      <xdr:col>58</xdr:col>
      <xdr:colOff>12620</xdr:colOff>
      <xdr:row>19</xdr:row>
      <xdr:rowOff>66675</xdr:rowOff>
    </xdr:to>
    <xdr:sp macro="" textlink="">
      <xdr:nvSpPr>
        <xdr:cNvPr id="14" name="Tile12">
          <a:extLst>
            <a:ext uri="{FF2B5EF4-FFF2-40B4-BE49-F238E27FC236}">
              <a16:creationId xmlns:a16="http://schemas.microsoft.com/office/drawing/2014/main" id="{AA910FA8-548A-43C4-80AD-056A75D4E840}"/>
            </a:ext>
          </a:extLst>
        </xdr:cNvPr>
        <xdr:cNvSpPr/>
      </xdr:nvSpPr>
      <xdr:spPr>
        <a:xfrm>
          <a:off x="5091680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12</a:t>
          </a:r>
        </a:p>
      </xdr:txBody>
    </xdr:sp>
    <xdr:clientData/>
  </xdr:twoCellAnchor>
  <xdr:twoCellAnchor>
    <xdr:from>
      <xdr:col>58</xdr:col>
      <xdr:colOff>62114</xdr:colOff>
      <xdr:row>14</xdr:row>
      <xdr:rowOff>28575</xdr:rowOff>
    </xdr:from>
    <xdr:to>
      <xdr:col>63</xdr:col>
      <xdr:colOff>31304</xdr:colOff>
      <xdr:row>19</xdr:row>
      <xdr:rowOff>66675</xdr:rowOff>
    </xdr:to>
    <xdr:sp macro="" textlink="">
      <xdr:nvSpPr>
        <xdr:cNvPr id="15" name="Tile13">
          <a:extLst>
            <a:ext uri="{FF2B5EF4-FFF2-40B4-BE49-F238E27FC236}">
              <a16:creationId xmlns:a16="http://schemas.microsoft.com/office/drawing/2014/main" id="{DB3B78D4-8763-4E8B-B3B6-B51C7BE79AE7}"/>
            </a:ext>
          </a:extLst>
        </xdr:cNvPr>
        <xdr:cNvSpPr/>
      </xdr:nvSpPr>
      <xdr:spPr>
        <a:xfrm>
          <a:off x="5586614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13</a:t>
          </a:r>
        </a:p>
      </xdr:txBody>
    </xdr:sp>
    <xdr:clientData/>
  </xdr:twoCellAnchor>
  <xdr:twoCellAnchor>
    <xdr:from>
      <xdr:col>63</xdr:col>
      <xdr:colOff>80797</xdr:colOff>
      <xdr:row>14</xdr:row>
      <xdr:rowOff>28575</xdr:rowOff>
    </xdr:from>
    <xdr:to>
      <xdr:col>68</xdr:col>
      <xdr:colOff>49987</xdr:colOff>
      <xdr:row>19</xdr:row>
      <xdr:rowOff>66675</xdr:rowOff>
    </xdr:to>
    <xdr:sp macro="" textlink="">
      <xdr:nvSpPr>
        <xdr:cNvPr id="16" name="Tile14">
          <a:extLst>
            <a:ext uri="{FF2B5EF4-FFF2-40B4-BE49-F238E27FC236}">
              <a16:creationId xmlns:a16="http://schemas.microsoft.com/office/drawing/2014/main" id="{9E592E05-8571-4266-A861-5EEE8E423941}"/>
            </a:ext>
          </a:extLst>
        </xdr:cNvPr>
        <xdr:cNvSpPr/>
      </xdr:nvSpPr>
      <xdr:spPr>
        <a:xfrm>
          <a:off x="6081547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14</a:t>
          </a:r>
        </a:p>
      </xdr:txBody>
    </xdr:sp>
    <xdr:clientData/>
  </xdr:twoCellAnchor>
  <xdr:twoCellAnchor>
    <xdr:from>
      <xdr:col>24</xdr:col>
      <xdr:colOff>83546</xdr:colOff>
      <xdr:row>18</xdr:row>
      <xdr:rowOff>76200</xdr:rowOff>
    </xdr:from>
    <xdr:to>
      <xdr:col>29</xdr:col>
      <xdr:colOff>52736</xdr:colOff>
      <xdr:row>24</xdr:row>
      <xdr:rowOff>19050</xdr:rowOff>
    </xdr:to>
    <xdr:sp macro="" textlink="">
      <xdr:nvSpPr>
        <xdr:cNvPr id="17" name="Tile15">
          <a:extLst>
            <a:ext uri="{FF2B5EF4-FFF2-40B4-BE49-F238E27FC236}">
              <a16:creationId xmlns:a16="http://schemas.microsoft.com/office/drawing/2014/main" id="{513FA55F-F324-425D-B1AC-17277B1C2A95}"/>
            </a:ext>
          </a:extLst>
        </xdr:cNvPr>
        <xdr:cNvSpPr/>
      </xdr:nvSpPr>
      <xdr:spPr>
        <a:xfrm>
          <a:off x="2369546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15</a:t>
          </a:r>
        </a:p>
      </xdr:txBody>
    </xdr:sp>
    <xdr:clientData/>
  </xdr:twoCellAnchor>
  <xdr:twoCellAnchor>
    <xdr:from>
      <xdr:col>30</xdr:col>
      <xdr:colOff>6979</xdr:colOff>
      <xdr:row>18</xdr:row>
      <xdr:rowOff>76200</xdr:rowOff>
    </xdr:from>
    <xdr:to>
      <xdr:col>34</xdr:col>
      <xdr:colOff>71419</xdr:colOff>
      <xdr:row>24</xdr:row>
      <xdr:rowOff>19050</xdr:rowOff>
    </xdr:to>
    <xdr:sp macro="" textlink="">
      <xdr:nvSpPr>
        <xdr:cNvPr id="18" name="Tile16">
          <a:extLst>
            <a:ext uri="{FF2B5EF4-FFF2-40B4-BE49-F238E27FC236}">
              <a16:creationId xmlns:a16="http://schemas.microsoft.com/office/drawing/2014/main" id="{D08FD39C-6F8A-4802-A953-7F89ED08137B}"/>
            </a:ext>
          </a:extLst>
        </xdr:cNvPr>
        <xdr:cNvSpPr/>
      </xdr:nvSpPr>
      <xdr:spPr>
        <a:xfrm>
          <a:off x="2864479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16</a:t>
          </a:r>
        </a:p>
      </xdr:txBody>
    </xdr:sp>
    <xdr:clientData/>
  </xdr:twoCellAnchor>
  <xdr:twoCellAnchor>
    <xdr:from>
      <xdr:col>35</xdr:col>
      <xdr:colOff>25663</xdr:colOff>
      <xdr:row>18</xdr:row>
      <xdr:rowOff>76200</xdr:rowOff>
    </xdr:from>
    <xdr:to>
      <xdr:col>39</xdr:col>
      <xdr:colOff>90103</xdr:colOff>
      <xdr:row>24</xdr:row>
      <xdr:rowOff>19050</xdr:rowOff>
    </xdr:to>
    <xdr:sp macro="" textlink="">
      <xdr:nvSpPr>
        <xdr:cNvPr id="19" name="Tile17">
          <a:extLst>
            <a:ext uri="{FF2B5EF4-FFF2-40B4-BE49-F238E27FC236}">
              <a16:creationId xmlns:a16="http://schemas.microsoft.com/office/drawing/2014/main" id="{BE35C7CD-B5AC-4310-B79E-F3AF9B1A8964}"/>
            </a:ext>
          </a:extLst>
        </xdr:cNvPr>
        <xdr:cNvSpPr/>
      </xdr:nvSpPr>
      <xdr:spPr>
        <a:xfrm>
          <a:off x="3359413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17</a:t>
          </a:r>
        </a:p>
      </xdr:txBody>
    </xdr:sp>
    <xdr:clientData/>
  </xdr:twoCellAnchor>
  <xdr:twoCellAnchor>
    <xdr:from>
      <xdr:col>40</xdr:col>
      <xdr:colOff>44347</xdr:colOff>
      <xdr:row>18</xdr:row>
      <xdr:rowOff>76200</xdr:rowOff>
    </xdr:from>
    <xdr:to>
      <xdr:col>45</xdr:col>
      <xdr:colOff>13537</xdr:colOff>
      <xdr:row>24</xdr:row>
      <xdr:rowOff>19050</xdr:rowOff>
    </xdr:to>
    <xdr:sp macro="" textlink="">
      <xdr:nvSpPr>
        <xdr:cNvPr id="20" name="Tile18">
          <a:extLst>
            <a:ext uri="{FF2B5EF4-FFF2-40B4-BE49-F238E27FC236}">
              <a16:creationId xmlns:a16="http://schemas.microsoft.com/office/drawing/2014/main" id="{7DEC778A-4FA1-43FC-9F08-98F67370435F}"/>
            </a:ext>
          </a:extLst>
        </xdr:cNvPr>
        <xdr:cNvSpPr/>
      </xdr:nvSpPr>
      <xdr:spPr>
        <a:xfrm>
          <a:off x="3854347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18</a:t>
          </a:r>
        </a:p>
      </xdr:txBody>
    </xdr:sp>
    <xdr:clientData/>
  </xdr:twoCellAnchor>
  <xdr:twoCellAnchor>
    <xdr:from>
      <xdr:col>45</xdr:col>
      <xdr:colOff>63030</xdr:colOff>
      <xdr:row>18</xdr:row>
      <xdr:rowOff>76200</xdr:rowOff>
    </xdr:from>
    <xdr:to>
      <xdr:col>50</xdr:col>
      <xdr:colOff>32220</xdr:colOff>
      <xdr:row>24</xdr:row>
      <xdr:rowOff>19050</xdr:rowOff>
    </xdr:to>
    <xdr:sp macro="" textlink="">
      <xdr:nvSpPr>
        <xdr:cNvPr id="21" name="Tile19">
          <a:extLst>
            <a:ext uri="{FF2B5EF4-FFF2-40B4-BE49-F238E27FC236}">
              <a16:creationId xmlns:a16="http://schemas.microsoft.com/office/drawing/2014/main" id="{71BDB4D0-1243-4B4D-AA23-E841E63ACCDC}"/>
            </a:ext>
          </a:extLst>
        </xdr:cNvPr>
        <xdr:cNvSpPr/>
      </xdr:nvSpPr>
      <xdr:spPr>
        <a:xfrm>
          <a:off x="4349280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19</a:t>
          </a:r>
        </a:p>
      </xdr:txBody>
    </xdr:sp>
    <xdr:clientData/>
  </xdr:twoCellAnchor>
  <xdr:twoCellAnchor>
    <xdr:from>
      <xdr:col>50</xdr:col>
      <xdr:colOff>81714</xdr:colOff>
      <xdr:row>18</xdr:row>
      <xdr:rowOff>76200</xdr:rowOff>
    </xdr:from>
    <xdr:to>
      <xdr:col>55</xdr:col>
      <xdr:colOff>50904</xdr:colOff>
      <xdr:row>24</xdr:row>
      <xdr:rowOff>19050</xdr:rowOff>
    </xdr:to>
    <xdr:sp macro="" textlink="">
      <xdr:nvSpPr>
        <xdr:cNvPr id="22" name="Tile20">
          <a:extLst>
            <a:ext uri="{FF2B5EF4-FFF2-40B4-BE49-F238E27FC236}">
              <a16:creationId xmlns:a16="http://schemas.microsoft.com/office/drawing/2014/main" id="{F14898F0-00AB-47DC-B27E-6357815A4529}"/>
            </a:ext>
          </a:extLst>
        </xdr:cNvPr>
        <xdr:cNvSpPr/>
      </xdr:nvSpPr>
      <xdr:spPr>
        <a:xfrm>
          <a:off x="4844214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20</a:t>
          </a:r>
        </a:p>
      </xdr:txBody>
    </xdr:sp>
    <xdr:clientData/>
  </xdr:twoCellAnchor>
  <xdr:twoCellAnchor>
    <xdr:from>
      <xdr:col>56</xdr:col>
      <xdr:colOff>5147</xdr:colOff>
      <xdr:row>18</xdr:row>
      <xdr:rowOff>76200</xdr:rowOff>
    </xdr:from>
    <xdr:to>
      <xdr:col>60</xdr:col>
      <xdr:colOff>69587</xdr:colOff>
      <xdr:row>24</xdr:row>
      <xdr:rowOff>19050</xdr:rowOff>
    </xdr:to>
    <xdr:sp macro="" textlink="">
      <xdr:nvSpPr>
        <xdr:cNvPr id="23" name="Tile21">
          <a:extLst>
            <a:ext uri="{FF2B5EF4-FFF2-40B4-BE49-F238E27FC236}">
              <a16:creationId xmlns:a16="http://schemas.microsoft.com/office/drawing/2014/main" id="{707EDF65-13FA-4F1E-A455-112485BC6CCE}"/>
            </a:ext>
          </a:extLst>
        </xdr:cNvPr>
        <xdr:cNvSpPr/>
      </xdr:nvSpPr>
      <xdr:spPr>
        <a:xfrm>
          <a:off x="5339147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21</a:t>
          </a:r>
        </a:p>
      </xdr:txBody>
    </xdr:sp>
    <xdr:clientData/>
  </xdr:twoCellAnchor>
  <xdr:twoCellAnchor>
    <xdr:from>
      <xdr:col>61</xdr:col>
      <xdr:colOff>23831</xdr:colOff>
      <xdr:row>18</xdr:row>
      <xdr:rowOff>76200</xdr:rowOff>
    </xdr:from>
    <xdr:to>
      <xdr:col>65</xdr:col>
      <xdr:colOff>88271</xdr:colOff>
      <xdr:row>24</xdr:row>
      <xdr:rowOff>19050</xdr:rowOff>
    </xdr:to>
    <xdr:sp macro="" textlink="">
      <xdr:nvSpPr>
        <xdr:cNvPr id="24" name="Tile22">
          <a:extLst>
            <a:ext uri="{FF2B5EF4-FFF2-40B4-BE49-F238E27FC236}">
              <a16:creationId xmlns:a16="http://schemas.microsoft.com/office/drawing/2014/main" id="{99912B9F-B881-4BD8-A72B-42A996058FDA}"/>
            </a:ext>
          </a:extLst>
        </xdr:cNvPr>
        <xdr:cNvSpPr/>
      </xdr:nvSpPr>
      <xdr:spPr>
        <a:xfrm>
          <a:off x="5834081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22</a:t>
          </a:r>
        </a:p>
      </xdr:txBody>
    </xdr:sp>
    <xdr:clientData/>
  </xdr:twoCellAnchor>
  <xdr:twoCellAnchor>
    <xdr:from>
      <xdr:col>66</xdr:col>
      <xdr:colOff>42514</xdr:colOff>
      <xdr:row>18</xdr:row>
      <xdr:rowOff>76200</xdr:rowOff>
    </xdr:from>
    <xdr:to>
      <xdr:col>71</xdr:col>
      <xdr:colOff>11704</xdr:colOff>
      <xdr:row>24</xdr:row>
      <xdr:rowOff>19050</xdr:rowOff>
    </xdr:to>
    <xdr:sp macro="" textlink="">
      <xdr:nvSpPr>
        <xdr:cNvPr id="25" name="Tile23">
          <a:extLst>
            <a:ext uri="{FF2B5EF4-FFF2-40B4-BE49-F238E27FC236}">
              <a16:creationId xmlns:a16="http://schemas.microsoft.com/office/drawing/2014/main" id="{D09A2E22-E9B7-4282-B0F8-C71C2ACF251C}"/>
            </a:ext>
          </a:extLst>
        </xdr:cNvPr>
        <xdr:cNvSpPr/>
      </xdr:nvSpPr>
      <xdr:spPr>
        <a:xfrm>
          <a:off x="6329014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23</a:t>
          </a:r>
        </a:p>
      </xdr:txBody>
    </xdr:sp>
    <xdr:clientData/>
  </xdr:twoCellAnchor>
  <xdr:twoCellAnchor>
    <xdr:from>
      <xdr:col>22</xdr:col>
      <xdr:colOff>26579</xdr:colOff>
      <xdr:row>23</xdr:row>
      <xdr:rowOff>28575</xdr:rowOff>
    </xdr:from>
    <xdr:to>
      <xdr:col>26</xdr:col>
      <xdr:colOff>91019</xdr:colOff>
      <xdr:row>28</xdr:row>
      <xdr:rowOff>66675</xdr:rowOff>
    </xdr:to>
    <xdr:sp macro="" textlink="">
      <xdr:nvSpPr>
        <xdr:cNvPr id="26" name="Tile24">
          <a:extLst>
            <a:ext uri="{FF2B5EF4-FFF2-40B4-BE49-F238E27FC236}">
              <a16:creationId xmlns:a16="http://schemas.microsoft.com/office/drawing/2014/main" id="{99435992-87D9-41D1-BC3F-5491CB453FBF}"/>
            </a:ext>
          </a:extLst>
        </xdr:cNvPr>
        <xdr:cNvSpPr/>
      </xdr:nvSpPr>
      <xdr:spPr>
        <a:xfrm>
          <a:off x="2122079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24</a:t>
          </a:r>
        </a:p>
      </xdr:txBody>
    </xdr:sp>
    <xdr:clientData/>
  </xdr:twoCellAnchor>
  <xdr:twoCellAnchor>
    <xdr:from>
      <xdr:col>27</xdr:col>
      <xdr:colOff>45263</xdr:colOff>
      <xdr:row>23</xdr:row>
      <xdr:rowOff>28575</xdr:rowOff>
    </xdr:from>
    <xdr:to>
      <xdr:col>32</xdr:col>
      <xdr:colOff>14453</xdr:colOff>
      <xdr:row>28</xdr:row>
      <xdr:rowOff>66675</xdr:rowOff>
    </xdr:to>
    <xdr:sp macro="" textlink="">
      <xdr:nvSpPr>
        <xdr:cNvPr id="27" name="Tile25">
          <a:extLst>
            <a:ext uri="{FF2B5EF4-FFF2-40B4-BE49-F238E27FC236}">
              <a16:creationId xmlns:a16="http://schemas.microsoft.com/office/drawing/2014/main" id="{7DB2D451-4391-4729-A37B-A75B16ABCC73}"/>
            </a:ext>
          </a:extLst>
        </xdr:cNvPr>
        <xdr:cNvSpPr/>
      </xdr:nvSpPr>
      <xdr:spPr>
        <a:xfrm>
          <a:off x="2617013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25</a:t>
          </a:r>
        </a:p>
      </xdr:txBody>
    </xdr:sp>
    <xdr:clientData/>
  </xdr:twoCellAnchor>
  <xdr:twoCellAnchor>
    <xdr:from>
      <xdr:col>32</xdr:col>
      <xdr:colOff>63946</xdr:colOff>
      <xdr:row>23</xdr:row>
      <xdr:rowOff>28575</xdr:rowOff>
    </xdr:from>
    <xdr:to>
      <xdr:col>37</xdr:col>
      <xdr:colOff>33136</xdr:colOff>
      <xdr:row>28</xdr:row>
      <xdr:rowOff>66675</xdr:rowOff>
    </xdr:to>
    <xdr:sp macro="" textlink="">
      <xdr:nvSpPr>
        <xdr:cNvPr id="28" name="Tile26">
          <a:extLst>
            <a:ext uri="{FF2B5EF4-FFF2-40B4-BE49-F238E27FC236}">
              <a16:creationId xmlns:a16="http://schemas.microsoft.com/office/drawing/2014/main" id="{1231560D-968D-45AC-9F88-DA10C97ED706}"/>
            </a:ext>
          </a:extLst>
        </xdr:cNvPr>
        <xdr:cNvSpPr/>
      </xdr:nvSpPr>
      <xdr:spPr>
        <a:xfrm>
          <a:off x="3111946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26</a:t>
          </a:r>
        </a:p>
      </xdr:txBody>
    </xdr:sp>
    <xdr:clientData/>
  </xdr:twoCellAnchor>
  <xdr:twoCellAnchor>
    <xdr:from>
      <xdr:col>37</xdr:col>
      <xdr:colOff>82630</xdr:colOff>
      <xdr:row>23</xdr:row>
      <xdr:rowOff>28575</xdr:rowOff>
    </xdr:from>
    <xdr:to>
      <xdr:col>42</xdr:col>
      <xdr:colOff>51820</xdr:colOff>
      <xdr:row>28</xdr:row>
      <xdr:rowOff>66675</xdr:rowOff>
    </xdr:to>
    <xdr:sp macro="" textlink="">
      <xdr:nvSpPr>
        <xdr:cNvPr id="29" name="Tile27">
          <a:extLst>
            <a:ext uri="{FF2B5EF4-FFF2-40B4-BE49-F238E27FC236}">
              <a16:creationId xmlns:a16="http://schemas.microsoft.com/office/drawing/2014/main" id="{B861B20C-11E2-4786-B465-D393A97B557F}"/>
            </a:ext>
          </a:extLst>
        </xdr:cNvPr>
        <xdr:cNvSpPr/>
      </xdr:nvSpPr>
      <xdr:spPr>
        <a:xfrm>
          <a:off x="3606880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27</a:t>
          </a:r>
        </a:p>
      </xdr:txBody>
    </xdr:sp>
    <xdr:clientData/>
  </xdr:twoCellAnchor>
  <xdr:twoCellAnchor>
    <xdr:from>
      <xdr:col>43</xdr:col>
      <xdr:colOff>6063</xdr:colOff>
      <xdr:row>23</xdr:row>
      <xdr:rowOff>28575</xdr:rowOff>
    </xdr:from>
    <xdr:to>
      <xdr:col>47</xdr:col>
      <xdr:colOff>70503</xdr:colOff>
      <xdr:row>28</xdr:row>
      <xdr:rowOff>66675</xdr:rowOff>
    </xdr:to>
    <xdr:sp macro="" textlink="">
      <xdr:nvSpPr>
        <xdr:cNvPr id="30" name="Tile28">
          <a:extLst>
            <a:ext uri="{FF2B5EF4-FFF2-40B4-BE49-F238E27FC236}">
              <a16:creationId xmlns:a16="http://schemas.microsoft.com/office/drawing/2014/main" id="{9A2734AA-C867-457A-B160-859EB46AEAF3}"/>
            </a:ext>
          </a:extLst>
        </xdr:cNvPr>
        <xdr:cNvSpPr/>
      </xdr:nvSpPr>
      <xdr:spPr>
        <a:xfrm>
          <a:off x="4101813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28</a:t>
          </a:r>
        </a:p>
      </xdr:txBody>
    </xdr:sp>
    <xdr:clientData/>
  </xdr:twoCellAnchor>
  <xdr:twoCellAnchor>
    <xdr:from>
      <xdr:col>48</xdr:col>
      <xdr:colOff>24747</xdr:colOff>
      <xdr:row>23</xdr:row>
      <xdr:rowOff>28575</xdr:rowOff>
    </xdr:from>
    <xdr:to>
      <xdr:col>52</xdr:col>
      <xdr:colOff>89187</xdr:colOff>
      <xdr:row>28</xdr:row>
      <xdr:rowOff>66675</xdr:rowOff>
    </xdr:to>
    <xdr:sp macro="" textlink="">
      <xdr:nvSpPr>
        <xdr:cNvPr id="31" name="Tile29">
          <a:extLst>
            <a:ext uri="{FF2B5EF4-FFF2-40B4-BE49-F238E27FC236}">
              <a16:creationId xmlns:a16="http://schemas.microsoft.com/office/drawing/2014/main" id="{81BB398A-187B-4684-BC48-BC501271622C}"/>
            </a:ext>
          </a:extLst>
        </xdr:cNvPr>
        <xdr:cNvSpPr/>
      </xdr:nvSpPr>
      <xdr:spPr>
        <a:xfrm>
          <a:off x="4596747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29</a:t>
          </a:r>
        </a:p>
      </xdr:txBody>
    </xdr:sp>
    <xdr:clientData/>
  </xdr:twoCellAnchor>
  <xdr:twoCellAnchor>
    <xdr:from>
      <xdr:col>53</xdr:col>
      <xdr:colOff>43430</xdr:colOff>
      <xdr:row>23</xdr:row>
      <xdr:rowOff>28575</xdr:rowOff>
    </xdr:from>
    <xdr:to>
      <xdr:col>58</xdr:col>
      <xdr:colOff>12620</xdr:colOff>
      <xdr:row>28</xdr:row>
      <xdr:rowOff>66675</xdr:rowOff>
    </xdr:to>
    <xdr:sp macro="" textlink="">
      <xdr:nvSpPr>
        <xdr:cNvPr id="32" name="Tile30">
          <a:extLst>
            <a:ext uri="{FF2B5EF4-FFF2-40B4-BE49-F238E27FC236}">
              <a16:creationId xmlns:a16="http://schemas.microsoft.com/office/drawing/2014/main" id="{E18DCCB7-306B-46B8-8762-475AF2130E59}"/>
            </a:ext>
          </a:extLst>
        </xdr:cNvPr>
        <xdr:cNvSpPr/>
      </xdr:nvSpPr>
      <xdr:spPr>
        <a:xfrm>
          <a:off x="5091680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30</a:t>
          </a:r>
        </a:p>
      </xdr:txBody>
    </xdr:sp>
    <xdr:clientData/>
  </xdr:twoCellAnchor>
  <xdr:twoCellAnchor>
    <xdr:from>
      <xdr:col>58</xdr:col>
      <xdr:colOff>62114</xdr:colOff>
      <xdr:row>23</xdr:row>
      <xdr:rowOff>28575</xdr:rowOff>
    </xdr:from>
    <xdr:to>
      <xdr:col>63</xdr:col>
      <xdr:colOff>31304</xdr:colOff>
      <xdr:row>28</xdr:row>
      <xdr:rowOff>66675</xdr:rowOff>
    </xdr:to>
    <xdr:sp macro="" textlink="">
      <xdr:nvSpPr>
        <xdr:cNvPr id="33" name="Tile31">
          <a:extLst>
            <a:ext uri="{FF2B5EF4-FFF2-40B4-BE49-F238E27FC236}">
              <a16:creationId xmlns:a16="http://schemas.microsoft.com/office/drawing/2014/main" id="{CE12E8CE-3C7C-4AA4-ADB6-8DFB1A1297E2}"/>
            </a:ext>
          </a:extLst>
        </xdr:cNvPr>
        <xdr:cNvSpPr/>
      </xdr:nvSpPr>
      <xdr:spPr>
        <a:xfrm>
          <a:off x="5586614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31</a:t>
          </a:r>
        </a:p>
      </xdr:txBody>
    </xdr:sp>
    <xdr:clientData/>
  </xdr:twoCellAnchor>
  <xdr:twoCellAnchor>
    <xdr:from>
      <xdr:col>63</xdr:col>
      <xdr:colOff>80797</xdr:colOff>
      <xdr:row>23</xdr:row>
      <xdr:rowOff>28575</xdr:rowOff>
    </xdr:from>
    <xdr:to>
      <xdr:col>68</xdr:col>
      <xdr:colOff>49987</xdr:colOff>
      <xdr:row>28</xdr:row>
      <xdr:rowOff>66675</xdr:rowOff>
    </xdr:to>
    <xdr:sp macro="" textlink="">
      <xdr:nvSpPr>
        <xdr:cNvPr id="34" name="Tile32">
          <a:extLst>
            <a:ext uri="{FF2B5EF4-FFF2-40B4-BE49-F238E27FC236}">
              <a16:creationId xmlns:a16="http://schemas.microsoft.com/office/drawing/2014/main" id="{34258CA8-4838-49C8-AA27-7EFB101E1BF6}"/>
            </a:ext>
          </a:extLst>
        </xdr:cNvPr>
        <xdr:cNvSpPr/>
      </xdr:nvSpPr>
      <xdr:spPr>
        <a:xfrm>
          <a:off x="6081547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32</a:t>
          </a:r>
        </a:p>
      </xdr:txBody>
    </xdr:sp>
    <xdr:clientData/>
  </xdr:twoCellAnchor>
  <xdr:twoCellAnchor>
    <xdr:from>
      <xdr:col>69</xdr:col>
      <xdr:colOff>4231</xdr:colOff>
      <xdr:row>23</xdr:row>
      <xdr:rowOff>28575</xdr:rowOff>
    </xdr:from>
    <xdr:to>
      <xdr:col>73</xdr:col>
      <xdr:colOff>68671</xdr:colOff>
      <xdr:row>28</xdr:row>
      <xdr:rowOff>66675</xdr:rowOff>
    </xdr:to>
    <xdr:sp macro="" textlink="">
      <xdr:nvSpPr>
        <xdr:cNvPr id="35" name="Tile33">
          <a:extLst>
            <a:ext uri="{FF2B5EF4-FFF2-40B4-BE49-F238E27FC236}">
              <a16:creationId xmlns:a16="http://schemas.microsoft.com/office/drawing/2014/main" id="{D415AA61-147E-4463-98AF-6A94C18D32B8}"/>
            </a:ext>
          </a:extLst>
        </xdr:cNvPr>
        <xdr:cNvSpPr/>
      </xdr:nvSpPr>
      <xdr:spPr>
        <a:xfrm>
          <a:off x="6576481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33</a:t>
          </a:r>
        </a:p>
      </xdr:txBody>
    </xdr:sp>
    <xdr:clientData/>
  </xdr:twoCellAnchor>
  <xdr:twoCellAnchor>
    <xdr:from>
      <xdr:col>19</xdr:col>
      <xdr:colOff>64862</xdr:colOff>
      <xdr:row>27</xdr:row>
      <xdr:rowOff>76200</xdr:rowOff>
    </xdr:from>
    <xdr:to>
      <xdr:col>24</xdr:col>
      <xdr:colOff>34052</xdr:colOff>
      <xdr:row>33</xdr:row>
      <xdr:rowOff>19050</xdr:rowOff>
    </xdr:to>
    <xdr:sp macro="" textlink="">
      <xdr:nvSpPr>
        <xdr:cNvPr id="36" name="Tile34">
          <a:extLst>
            <a:ext uri="{FF2B5EF4-FFF2-40B4-BE49-F238E27FC236}">
              <a16:creationId xmlns:a16="http://schemas.microsoft.com/office/drawing/2014/main" id="{0031BC22-F55C-4066-BC96-8597CB2C7997}"/>
            </a:ext>
          </a:extLst>
        </xdr:cNvPr>
        <xdr:cNvSpPr/>
      </xdr:nvSpPr>
      <xdr:spPr>
        <a:xfrm>
          <a:off x="1874612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34</a:t>
          </a:r>
        </a:p>
      </xdr:txBody>
    </xdr:sp>
    <xdr:clientData/>
  </xdr:twoCellAnchor>
  <xdr:twoCellAnchor>
    <xdr:from>
      <xdr:col>24</xdr:col>
      <xdr:colOff>83546</xdr:colOff>
      <xdr:row>27</xdr:row>
      <xdr:rowOff>76200</xdr:rowOff>
    </xdr:from>
    <xdr:to>
      <xdr:col>29</xdr:col>
      <xdr:colOff>52736</xdr:colOff>
      <xdr:row>33</xdr:row>
      <xdr:rowOff>19050</xdr:rowOff>
    </xdr:to>
    <xdr:sp macro="" textlink="">
      <xdr:nvSpPr>
        <xdr:cNvPr id="37" name="Tile35">
          <a:extLst>
            <a:ext uri="{FF2B5EF4-FFF2-40B4-BE49-F238E27FC236}">
              <a16:creationId xmlns:a16="http://schemas.microsoft.com/office/drawing/2014/main" id="{0A227755-E205-4654-9447-7C89890A515E}"/>
            </a:ext>
          </a:extLst>
        </xdr:cNvPr>
        <xdr:cNvSpPr/>
      </xdr:nvSpPr>
      <xdr:spPr>
        <a:xfrm>
          <a:off x="2369546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35</a:t>
          </a:r>
        </a:p>
      </xdr:txBody>
    </xdr:sp>
    <xdr:clientData/>
  </xdr:twoCellAnchor>
  <xdr:twoCellAnchor>
    <xdr:from>
      <xdr:col>30</xdr:col>
      <xdr:colOff>6979</xdr:colOff>
      <xdr:row>27</xdr:row>
      <xdr:rowOff>76200</xdr:rowOff>
    </xdr:from>
    <xdr:to>
      <xdr:col>34</xdr:col>
      <xdr:colOff>71419</xdr:colOff>
      <xdr:row>33</xdr:row>
      <xdr:rowOff>19050</xdr:rowOff>
    </xdr:to>
    <xdr:sp macro="" textlink="">
      <xdr:nvSpPr>
        <xdr:cNvPr id="38" name="Tile36">
          <a:extLst>
            <a:ext uri="{FF2B5EF4-FFF2-40B4-BE49-F238E27FC236}">
              <a16:creationId xmlns:a16="http://schemas.microsoft.com/office/drawing/2014/main" id="{56D0DDB4-C72C-4E27-A577-17977F102A24}"/>
            </a:ext>
          </a:extLst>
        </xdr:cNvPr>
        <xdr:cNvSpPr/>
      </xdr:nvSpPr>
      <xdr:spPr>
        <a:xfrm>
          <a:off x="2864479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36</a:t>
          </a:r>
        </a:p>
      </xdr:txBody>
    </xdr:sp>
    <xdr:clientData/>
  </xdr:twoCellAnchor>
  <xdr:twoCellAnchor>
    <xdr:from>
      <xdr:col>35</xdr:col>
      <xdr:colOff>25663</xdr:colOff>
      <xdr:row>27</xdr:row>
      <xdr:rowOff>76200</xdr:rowOff>
    </xdr:from>
    <xdr:to>
      <xdr:col>39</xdr:col>
      <xdr:colOff>90103</xdr:colOff>
      <xdr:row>33</xdr:row>
      <xdr:rowOff>19050</xdr:rowOff>
    </xdr:to>
    <xdr:sp macro="" textlink="">
      <xdr:nvSpPr>
        <xdr:cNvPr id="39" name="Tile37">
          <a:extLst>
            <a:ext uri="{FF2B5EF4-FFF2-40B4-BE49-F238E27FC236}">
              <a16:creationId xmlns:a16="http://schemas.microsoft.com/office/drawing/2014/main" id="{905BBEEB-1A70-4ACB-ADDD-6580371A79D6}"/>
            </a:ext>
          </a:extLst>
        </xdr:cNvPr>
        <xdr:cNvSpPr/>
      </xdr:nvSpPr>
      <xdr:spPr>
        <a:xfrm>
          <a:off x="3359413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37</a:t>
          </a:r>
        </a:p>
      </xdr:txBody>
    </xdr:sp>
    <xdr:clientData/>
  </xdr:twoCellAnchor>
  <xdr:twoCellAnchor>
    <xdr:from>
      <xdr:col>40</xdr:col>
      <xdr:colOff>44347</xdr:colOff>
      <xdr:row>27</xdr:row>
      <xdr:rowOff>76200</xdr:rowOff>
    </xdr:from>
    <xdr:to>
      <xdr:col>45</xdr:col>
      <xdr:colOff>13537</xdr:colOff>
      <xdr:row>33</xdr:row>
      <xdr:rowOff>19050</xdr:rowOff>
    </xdr:to>
    <xdr:sp macro="" textlink="">
      <xdr:nvSpPr>
        <xdr:cNvPr id="40" name="Tile38">
          <a:extLst>
            <a:ext uri="{FF2B5EF4-FFF2-40B4-BE49-F238E27FC236}">
              <a16:creationId xmlns:a16="http://schemas.microsoft.com/office/drawing/2014/main" id="{53D526DC-949C-414C-B4B0-04CFB7B2F4B2}"/>
            </a:ext>
          </a:extLst>
        </xdr:cNvPr>
        <xdr:cNvSpPr/>
      </xdr:nvSpPr>
      <xdr:spPr>
        <a:xfrm>
          <a:off x="3854347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38</a:t>
          </a:r>
        </a:p>
      </xdr:txBody>
    </xdr:sp>
    <xdr:clientData/>
  </xdr:twoCellAnchor>
  <xdr:twoCellAnchor>
    <xdr:from>
      <xdr:col>45</xdr:col>
      <xdr:colOff>63030</xdr:colOff>
      <xdr:row>27</xdr:row>
      <xdr:rowOff>76200</xdr:rowOff>
    </xdr:from>
    <xdr:to>
      <xdr:col>50</xdr:col>
      <xdr:colOff>32220</xdr:colOff>
      <xdr:row>33</xdr:row>
      <xdr:rowOff>19050</xdr:rowOff>
    </xdr:to>
    <xdr:sp macro="" textlink="">
      <xdr:nvSpPr>
        <xdr:cNvPr id="41" name="Tile39">
          <a:extLst>
            <a:ext uri="{FF2B5EF4-FFF2-40B4-BE49-F238E27FC236}">
              <a16:creationId xmlns:a16="http://schemas.microsoft.com/office/drawing/2014/main" id="{B9FE23EA-4420-49B3-B60A-926DB803EE75}"/>
            </a:ext>
          </a:extLst>
        </xdr:cNvPr>
        <xdr:cNvSpPr/>
      </xdr:nvSpPr>
      <xdr:spPr>
        <a:xfrm>
          <a:off x="4349280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39</a:t>
          </a:r>
        </a:p>
      </xdr:txBody>
    </xdr:sp>
    <xdr:clientData/>
  </xdr:twoCellAnchor>
  <xdr:twoCellAnchor>
    <xdr:from>
      <xdr:col>50</xdr:col>
      <xdr:colOff>81714</xdr:colOff>
      <xdr:row>27</xdr:row>
      <xdr:rowOff>76200</xdr:rowOff>
    </xdr:from>
    <xdr:to>
      <xdr:col>55</xdr:col>
      <xdr:colOff>50904</xdr:colOff>
      <xdr:row>33</xdr:row>
      <xdr:rowOff>19050</xdr:rowOff>
    </xdr:to>
    <xdr:sp macro="" textlink="">
      <xdr:nvSpPr>
        <xdr:cNvPr id="42" name="Tile40">
          <a:extLst>
            <a:ext uri="{FF2B5EF4-FFF2-40B4-BE49-F238E27FC236}">
              <a16:creationId xmlns:a16="http://schemas.microsoft.com/office/drawing/2014/main" id="{7A58DAD5-E6DA-45B4-8074-4540072D7C00}"/>
            </a:ext>
          </a:extLst>
        </xdr:cNvPr>
        <xdr:cNvSpPr/>
      </xdr:nvSpPr>
      <xdr:spPr>
        <a:xfrm>
          <a:off x="4844214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rgbClr val="FF0000"/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40</a:t>
          </a:r>
        </a:p>
      </xdr:txBody>
    </xdr:sp>
    <xdr:clientData/>
  </xdr:twoCellAnchor>
  <xdr:twoCellAnchor>
    <xdr:from>
      <xdr:col>56</xdr:col>
      <xdr:colOff>5147</xdr:colOff>
      <xdr:row>27</xdr:row>
      <xdr:rowOff>76200</xdr:rowOff>
    </xdr:from>
    <xdr:to>
      <xdr:col>60</xdr:col>
      <xdr:colOff>69587</xdr:colOff>
      <xdr:row>33</xdr:row>
      <xdr:rowOff>19050</xdr:rowOff>
    </xdr:to>
    <xdr:sp macro="" textlink="">
      <xdr:nvSpPr>
        <xdr:cNvPr id="43" name="Tile41">
          <a:extLst>
            <a:ext uri="{FF2B5EF4-FFF2-40B4-BE49-F238E27FC236}">
              <a16:creationId xmlns:a16="http://schemas.microsoft.com/office/drawing/2014/main" id="{76F129D0-F573-483F-9160-FFE83C9E342C}"/>
            </a:ext>
          </a:extLst>
        </xdr:cNvPr>
        <xdr:cNvSpPr/>
      </xdr:nvSpPr>
      <xdr:spPr>
        <a:xfrm>
          <a:off x="5339147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41</a:t>
          </a:r>
        </a:p>
      </xdr:txBody>
    </xdr:sp>
    <xdr:clientData/>
  </xdr:twoCellAnchor>
  <xdr:twoCellAnchor>
    <xdr:from>
      <xdr:col>61</xdr:col>
      <xdr:colOff>23831</xdr:colOff>
      <xdr:row>27</xdr:row>
      <xdr:rowOff>76200</xdr:rowOff>
    </xdr:from>
    <xdr:to>
      <xdr:col>65</xdr:col>
      <xdr:colOff>88271</xdr:colOff>
      <xdr:row>33</xdr:row>
      <xdr:rowOff>19050</xdr:rowOff>
    </xdr:to>
    <xdr:sp macro="" textlink="">
      <xdr:nvSpPr>
        <xdr:cNvPr id="44" name="Tile42">
          <a:extLst>
            <a:ext uri="{FF2B5EF4-FFF2-40B4-BE49-F238E27FC236}">
              <a16:creationId xmlns:a16="http://schemas.microsoft.com/office/drawing/2014/main" id="{EE5E0604-AFFA-4AD1-AEEA-79394B6FCD3B}"/>
            </a:ext>
          </a:extLst>
        </xdr:cNvPr>
        <xdr:cNvSpPr/>
      </xdr:nvSpPr>
      <xdr:spPr>
        <a:xfrm>
          <a:off x="5834081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42</a:t>
          </a:r>
        </a:p>
      </xdr:txBody>
    </xdr:sp>
    <xdr:clientData/>
  </xdr:twoCellAnchor>
  <xdr:twoCellAnchor>
    <xdr:from>
      <xdr:col>66</xdr:col>
      <xdr:colOff>42514</xdr:colOff>
      <xdr:row>27</xdr:row>
      <xdr:rowOff>76200</xdr:rowOff>
    </xdr:from>
    <xdr:to>
      <xdr:col>71</xdr:col>
      <xdr:colOff>11704</xdr:colOff>
      <xdr:row>33</xdr:row>
      <xdr:rowOff>19050</xdr:rowOff>
    </xdr:to>
    <xdr:sp macro="" textlink="">
      <xdr:nvSpPr>
        <xdr:cNvPr id="45" name="Tile43">
          <a:extLst>
            <a:ext uri="{FF2B5EF4-FFF2-40B4-BE49-F238E27FC236}">
              <a16:creationId xmlns:a16="http://schemas.microsoft.com/office/drawing/2014/main" id="{9420DE12-ED58-42DB-A20F-31BF3BEFB1AA}"/>
            </a:ext>
          </a:extLst>
        </xdr:cNvPr>
        <xdr:cNvSpPr/>
      </xdr:nvSpPr>
      <xdr:spPr>
        <a:xfrm>
          <a:off x="6329014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43</a:t>
          </a:r>
        </a:p>
      </xdr:txBody>
    </xdr:sp>
    <xdr:clientData/>
  </xdr:twoCellAnchor>
  <xdr:twoCellAnchor>
    <xdr:from>
      <xdr:col>71</xdr:col>
      <xdr:colOff>61198</xdr:colOff>
      <xdr:row>27</xdr:row>
      <xdr:rowOff>76200</xdr:rowOff>
    </xdr:from>
    <xdr:to>
      <xdr:col>76</xdr:col>
      <xdr:colOff>30388</xdr:colOff>
      <xdr:row>33</xdr:row>
      <xdr:rowOff>19050</xdr:rowOff>
    </xdr:to>
    <xdr:sp macro="" textlink="">
      <xdr:nvSpPr>
        <xdr:cNvPr id="46" name="Tile44">
          <a:extLst>
            <a:ext uri="{FF2B5EF4-FFF2-40B4-BE49-F238E27FC236}">
              <a16:creationId xmlns:a16="http://schemas.microsoft.com/office/drawing/2014/main" id="{C4FEF215-92F4-46C4-9E81-26BBA9EB9BA5}"/>
            </a:ext>
          </a:extLst>
        </xdr:cNvPr>
        <xdr:cNvSpPr/>
      </xdr:nvSpPr>
      <xdr:spPr>
        <a:xfrm>
          <a:off x="6823948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44</a:t>
          </a:r>
        </a:p>
      </xdr:txBody>
    </xdr:sp>
    <xdr:clientData/>
  </xdr:twoCellAnchor>
  <xdr:twoCellAnchor>
    <xdr:from>
      <xdr:col>22</xdr:col>
      <xdr:colOff>26579</xdr:colOff>
      <xdr:row>32</xdr:row>
      <xdr:rowOff>28575</xdr:rowOff>
    </xdr:from>
    <xdr:to>
      <xdr:col>26</xdr:col>
      <xdr:colOff>91019</xdr:colOff>
      <xdr:row>37</xdr:row>
      <xdr:rowOff>66675</xdr:rowOff>
    </xdr:to>
    <xdr:sp macro="" textlink="">
      <xdr:nvSpPr>
        <xdr:cNvPr id="47" name="Tile45">
          <a:extLst>
            <a:ext uri="{FF2B5EF4-FFF2-40B4-BE49-F238E27FC236}">
              <a16:creationId xmlns:a16="http://schemas.microsoft.com/office/drawing/2014/main" id="{3AD839E6-6DE1-49D6-A4C0-A014E9D542A7}"/>
            </a:ext>
          </a:extLst>
        </xdr:cNvPr>
        <xdr:cNvSpPr/>
      </xdr:nvSpPr>
      <xdr:spPr>
        <a:xfrm>
          <a:off x="2122079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45</a:t>
          </a:r>
        </a:p>
      </xdr:txBody>
    </xdr:sp>
    <xdr:clientData/>
  </xdr:twoCellAnchor>
  <xdr:twoCellAnchor>
    <xdr:from>
      <xdr:col>27</xdr:col>
      <xdr:colOff>45263</xdr:colOff>
      <xdr:row>32</xdr:row>
      <xdr:rowOff>28575</xdr:rowOff>
    </xdr:from>
    <xdr:to>
      <xdr:col>32</xdr:col>
      <xdr:colOff>14453</xdr:colOff>
      <xdr:row>37</xdr:row>
      <xdr:rowOff>66675</xdr:rowOff>
    </xdr:to>
    <xdr:sp macro="" textlink="">
      <xdr:nvSpPr>
        <xdr:cNvPr id="48" name="Tile46">
          <a:extLst>
            <a:ext uri="{FF2B5EF4-FFF2-40B4-BE49-F238E27FC236}">
              <a16:creationId xmlns:a16="http://schemas.microsoft.com/office/drawing/2014/main" id="{D05001AE-BDD5-41D4-96B3-112DAA49E443}"/>
            </a:ext>
          </a:extLst>
        </xdr:cNvPr>
        <xdr:cNvSpPr/>
      </xdr:nvSpPr>
      <xdr:spPr>
        <a:xfrm>
          <a:off x="2617013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46</a:t>
          </a:r>
        </a:p>
      </xdr:txBody>
    </xdr:sp>
    <xdr:clientData/>
  </xdr:twoCellAnchor>
  <xdr:twoCellAnchor>
    <xdr:from>
      <xdr:col>32</xdr:col>
      <xdr:colOff>63946</xdr:colOff>
      <xdr:row>32</xdr:row>
      <xdr:rowOff>28575</xdr:rowOff>
    </xdr:from>
    <xdr:to>
      <xdr:col>37</xdr:col>
      <xdr:colOff>33136</xdr:colOff>
      <xdr:row>37</xdr:row>
      <xdr:rowOff>66675</xdr:rowOff>
    </xdr:to>
    <xdr:sp macro="" textlink="">
      <xdr:nvSpPr>
        <xdr:cNvPr id="49" name="Tile47">
          <a:extLst>
            <a:ext uri="{FF2B5EF4-FFF2-40B4-BE49-F238E27FC236}">
              <a16:creationId xmlns:a16="http://schemas.microsoft.com/office/drawing/2014/main" id="{502FD69B-D46A-4405-8479-415C7FCB689B}"/>
            </a:ext>
          </a:extLst>
        </xdr:cNvPr>
        <xdr:cNvSpPr/>
      </xdr:nvSpPr>
      <xdr:spPr>
        <a:xfrm>
          <a:off x="3111946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47</a:t>
          </a:r>
        </a:p>
      </xdr:txBody>
    </xdr:sp>
    <xdr:clientData/>
  </xdr:twoCellAnchor>
  <xdr:twoCellAnchor>
    <xdr:from>
      <xdr:col>37</xdr:col>
      <xdr:colOff>82630</xdr:colOff>
      <xdr:row>32</xdr:row>
      <xdr:rowOff>28575</xdr:rowOff>
    </xdr:from>
    <xdr:to>
      <xdr:col>42</xdr:col>
      <xdr:colOff>51820</xdr:colOff>
      <xdr:row>37</xdr:row>
      <xdr:rowOff>66675</xdr:rowOff>
    </xdr:to>
    <xdr:sp macro="" textlink="">
      <xdr:nvSpPr>
        <xdr:cNvPr id="50" name="Tile48">
          <a:extLst>
            <a:ext uri="{FF2B5EF4-FFF2-40B4-BE49-F238E27FC236}">
              <a16:creationId xmlns:a16="http://schemas.microsoft.com/office/drawing/2014/main" id="{271B98E1-FC09-47B9-9556-1F5160F111C5}"/>
            </a:ext>
          </a:extLst>
        </xdr:cNvPr>
        <xdr:cNvSpPr/>
      </xdr:nvSpPr>
      <xdr:spPr>
        <a:xfrm>
          <a:off x="3606880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48</a:t>
          </a:r>
        </a:p>
      </xdr:txBody>
    </xdr:sp>
    <xdr:clientData/>
  </xdr:twoCellAnchor>
  <xdr:twoCellAnchor>
    <xdr:from>
      <xdr:col>43</xdr:col>
      <xdr:colOff>6063</xdr:colOff>
      <xdr:row>32</xdr:row>
      <xdr:rowOff>28575</xdr:rowOff>
    </xdr:from>
    <xdr:to>
      <xdr:col>47</xdr:col>
      <xdr:colOff>70503</xdr:colOff>
      <xdr:row>37</xdr:row>
      <xdr:rowOff>66675</xdr:rowOff>
    </xdr:to>
    <xdr:sp macro="" textlink="">
      <xdr:nvSpPr>
        <xdr:cNvPr id="51" name="Tile49">
          <a:extLst>
            <a:ext uri="{FF2B5EF4-FFF2-40B4-BE49-F238E27FC236}">
              <a16:creationId xmlns:a16="http://schemas.microsoft.com/office/drawing/2014/main" id="{A67BD851-FA50-4849-992E-4FB12BA3F718}"/>
            </a:ext>
          </a:extLst>
        </xdr:cNvPr>
        <xdr:cNvSpPr/>
      </xdr:nvSpPr>
      <xdr:spPr>
        <a:xfrm>
          <a:off x="4101813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49</a:t>
          </a:r>
        </a:p>
      </xdr:txBody>
    </xdr:sp>
    <xdr:clientData/>
  </xdr:twoCellAnchor>
  <xdr:twoCellAnchor>
    <xdr:from>
      <xdr:col>48</xdr:col>
      <xdr:colOff>24747</xdr:colOff>
      <xdr:row>32</xdr:row>
      <xdr:rowOff>28575</xdr:rowOff>
    </xdr:from>
    <xdr:to>
      <xdr:col>52</xdr:col>
      <xdr:colOff>89187</xdr:colOff>
      <xdr:row>37</xdr:row>
      <xdr:rowOff>66675</xdr:rowOff>
    </xdr:to>
    <xdr:sp macro="" textlink="">
      <xdr:nvSpPr>
        <xdr:cNvPr id="52" name="Tile50">
          <a:extLst>
            <a:ext uri="{FF2B5EF4-FFF2-40B4-BE49-F238E27FC236}">
              <a16:creationId xmlns:a16="http://schemas.microsoft.com/office/drawing/2014/main" id="{A196417D-137A-4EA7-BD1B-3AD3E448E603}"/>
            </a:ext>
          </a:extLst>
        </xdr:cNvPr>
        <xdr:cNvSpPr/>
      </xdr:nvSpPr>
      <xdr:spPr>
        <a:xfrm>
          <a:off x="4596747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50</a:t>
          </a:r>
        </a:p>
      </xdr:txBody>
    </xdr:sp>
    <xdr:clientData/>
  </xdr:twoCellAnchor>
  <xdr:twoCellAnchor>
    <xdr:from>
      <xdr:col>53</xdr:col>
      <xdr:colOff>43430</xdr:colOff>
      <xdr:row>32</xdr:row>
      <xdr:rowOff>28575</xdr:rowOff>
    </xdr:from>
    <xdr:to>
      <xdr:col>58</xdr:col>
      <xdr:colOff>12620</xdr:colOff>
      <xdr:row>37</xdr:row>
      <xdr:rowOff>66675</xdr:rowOff>
    </xdr:to>
    <xdr:sp macro="" textlink="">
      <xdr:nvSpPr>
        <xdr:cNvPr id="53" name="Tile51">
          <a:extLst>
            <a:ext uri="{FF2B5EF4-FFF2-40B4-BE49-F238E27FC236}">
              <a16:creationId xmlns:a16="http://schemas.microsoft.com/office/drawing/2014/main" id="{D3F4FB34-6DB8-4F0C-B18B-8761C962C98B}"/>
            </a:ext>
          </a:extLst>
        </xdr:cNvPr>
        <xdr:cNvSpPr/>
      </xdr:nvSpPr>
      <xdr:spPr>
        <a:xfrm>
          <a:off x="5091680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51</a:t>
          </a:r>
        </a:p>
      </xdr:txBody>
    </xdr:sp>
    <xdr:clientData/>
  </xdr:twoCellAnchor>
  <xdr:twoCellAnchor>
    <xdr:from>
      <xdr:col>58</xdr:col>
      <xdr:colOff>62114</xdr:colOff>
      <xdr:row>32</xdr:row>
      <xdr:rowOff>28575</xdr:rowOff>
    </xdr:from>
    <xdr:to>
      <xdr:col>63</xdr:col>
      <xdr:colOff>31304</xdr:colOff>
      <xdr:row>37</xdr:row>
      <xdr:rowOff>66675</xdr:rowOff>
    </xdr:to>
    <xdr:sp macro="" textlink="">
      <xdr:nvSpPr>
        <xdr:cNvPr id="54" name="Tile52">
          <a:extLst>
            <a:ext uri="{FF2B5EF4-FFF2-40B4-BE49-F238E27FC236}">
              <a16:creationId xmlns:a16="http://schemas.microsoft.com/office/drawing/2014/main" id="{FC4BFD8F-165D-4571-A656-2927F0A33C22}"/>
            </a:ext>
          </a:extLst>
        </xdr:cNvPr>
        <xdr:cNvSpPr/>
      </xdr:nvSpPr>
      <xdr:spPr>
        <a:xfrm>
          <a:off x="5586614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52</a:t>
          </a:r>
        </a:p>
      </xdr:txBody>
    </xdr:sp>
    <xdr:clientData/>
  </xdr:twoCellAnchor>
  <xdr:twoCellAnchor>
    <xdr:from>
      <xdr:col>63</xdr:col>
      <xdr:colOff>80797</xdr:colOff>
      <xdr:row>32</xdr:row>
      <xdr:rowOff>28575</xdr:rowOff>
    </xdr:from>
    <xdr:to>
      <xdr:col>68</xdr:col>
      <xdr:colOff>49987</xdr:colOff>
      <xdr:row>37</xdr:row>
      <xdr:rowOff>66675</xdr:rowOff>
    </xdr:to>
    <xdr:sp macro="" textlink="">
      <xdr:nvSpPr>
        <xdr:cNvPr id="55" name="Tile53">
          <a:extLst>
            <a:ext uri="{FF2B5EF4-FFF2-40B4-BE49-F238E27FC236}">
              <a16:creationId xmlns:a16="http://schemas.microsoft.com/office/drawing/2014/main" id="{539FE795-C4F2-49C9-8134-E5682F012FA8}"/>
            </a:ext>
          </a:extLst>
        </xdr:cNvPr>
        <xdr:cNvSpPr/>
      </xdr:nvSpPr>
      <xdr:spPr>
        <a:xfrm>
          <a:off x="6081547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53</a:t>
          </a:r>
        </a:p>
      </xdr:txBody>
    </xdr:sp>
    <xdr:clientData/>
  </xdr:twoCellAnchor>
  <xdr:twoCellAnchor>
    <xdr:from>
      <xdr:col>69</xdr:col>
      <xdr:colOff>4231</xdr:colOff>
      <xdr:row>32</xdr:row>
      <xdr:rowOff>28575</xdr:rowOff>
    </xdr:from>
    <xdr:to>
      <xdr:col>73</xdr:col>
      <xdr:colOff>68671</xdr:colOff>
      <xdr:row>37</xdr:row>
      <xdr:rowOff>66675</xdr:rowOff>
    </xdr:to>
    <xdr:sp macro="" textlink="">
      <xdr:nvSpPr>
        <xdr:cNvPr id="56" name="Tile54">
          <a:extLst>
            <a:ext uri="{FF2B5EF4-FFF2-40B4-BE49-F238E27FC236}">
              <a16:creationId xmlns:a16="http://schemas.microsoft.com/office/drawing/2014/main" id="{2402F521-2BC7-4736-A8BB-C17DEA216BFD}"/>
            </a:ext>
          </a:extLst>
        </xdr:cNvPr>
        <xdr:cNvSpPr/>
      </xdr:nvSpPr>
      <xdr:spPr>
        <a:xfrm>
          <a:off x="6576481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54</a:t>
          </a:r>
        </a:p>
      </xdr:txBody>
    </xdr:sp>
    <xdr:clientData/>
  </xdr:twoCellAnchor>
  <xdr:twoCellAnchor>
    <xdr:from>
      <xdr:col>24</xdr:col>
      <xdr:colOff>83546</xdr:colOff>
      <xdr:row>36</xdr:row>
      <xdr:rowOff>76200</xdr:rowOff>
    </xdr:from>
    <xdr:to>
      <xdr:col>29</xdr:col>
      <xdr:colOff>52736</xdr:colOff>
      <xdr:row>42</xdr:row>
      <xdr:rowOff>19050</xdr:rowOff>
    </xdr:to>
    <xdr:sp macro="" textlink="">
      <xdr:nvSpPr>
        <xdr:cNvPr id="57" name="Tile55">
          <a:extLst>
            <a:ext uri="{FF2B5EF4-FFF2-40B4-BE49-F238E27FC236}">
              <a16:creationId xmlns:a16="http://schemas.microsoft.com/office/drawing/2014/main" id="{315098CC-0B21-453B-B78F-31D86CA0B2DE}"/>
            </a:ext>
          </a:extLst>
        </xdr:cNvPr>
        <xdr:cNvSpPr/>
      </xdr:nvSpPr>
      <xdr:spPr>
        <a:xfrm>
          <a:off x="2369546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55</a:t>
          </a:r>
        </a:p>
      </xdr:txBody>
    </xdr:sp>
    <xdr:clientData/>
  </xdr:twoCellAnchor>
  <xdr:twoCellAnchor>
    <xdr:from>
      <xdr:col>30</xdr:col>
      <xdr:colOff>6979</xdr:colOff>
      <xdr:row>36</xdr:row>
      <xdr:rowOff>76200</xdr:rowOff>
    </xdr:from>
    <xdr:to>
      <xdr:col>34</xdr:col>
      <xdr:colOff>71419</xdr:colOff>
      <xdr:row>42</xdr:row>
      <xdr:rowOff>19050</xdr:rowOff>
    </xdr:to>
    <xdr:sp macro="" textlink="">
      <xdr:nvSpPr>
        <xdr:cNvPr id="58" name="Tile56">
          <a:extLst>
            <a:ext uri="{FF2B5EF4-FFF2-40B4-BE49-F238E27FC236}">
              <a16:creationId xmlns:a16="http://schemas.microsoft.com/office/drawing/2014/main" id="{37196CFD-8BBD-44D8-9387-3A0E1E8F4444}"/>
            </a:ext>
          </a:extLst>
        </xdr:cNvPr>
        <xdr:cNvSpPr/>
      </xdr:nvSpPr>
      <xdr:spPr>
        <a:xfrm>
          <a:off x="2864479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56</a:t>
          </a:r>
        </a:p>
      </xdr:txBody>
    </xdr:sp>
    <xdr:clientData/>
  </xdr:twoCellAnchor>
  <xdr:twoCellAnchor>
    <xdr:from>
      <xdr:col>35</xdr:col>
      <xdr:colOff>25663</xdr:colOff>
      <xdr:row>36</xdr:row>
      <xdr:rowOff>76200</xdr:rowOff>
    </xdr:from>
    <xdr:to>
      <xdr:col>39</xdr:col>
      <xdr:colOff>90103</xdr:colOff>
      <xdr:row>42</xdr:row>
      <xdr:rowOff>19050</xdr:rowOff>
    </xdr:to>
    <xdr:sp macro="" textlink="">
      <xdr:nvSpPr>
        <xdr:cNvPr id="59" name="Tile57">
          <a:extLst>
            <a:ext uri="{FF2B5EF4-FFF2-40B4-BE49-F238E27FC236}">
              <a16:creationId xmlns:a16="http://schemas.microsoft.com/office/drawing/2014/main" id="{EF3D30B6-013D-4B59-87AD-B58B1AD81BD1}"/>
            </a:ext>
          </a:extLst>
        </xdr:cNvPr>
        <xdr:cNvSpPr/>
      </xdr:nvSpPr>
      <xdr:spPr>
        <a:xfrm>
          <a:off x="3359413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57</a:t>
          </a:r>
        </a:p>
      </xdr:txBody>
    </xdr:sp>
    <xdr:clientData/>
  </xdr:twoCellAnchor>
  <xdr:twoCellAnchor>
    <xdr:from>
      <xdr:col>40</xdr:col>
      <xdr:colOff>44347</xdr:colOff>
      <xdr:row>36</xdr:row>
      <xdr:rowOff>76200</xdr:rowOff>
    </xdr:from>
    <xdr:to>
      <xdr:col>45</xdr:col>
      <xdr:colOff>13537</xdr:colOff>
      <xdr:row>42</xdr:row>
      <xdr:rowOff>19050</xdr:rowOff>
    </xdr:to>
    <xdr:sp macro="" textlink="">
      <xdr:nvSpPr>
        <xdr:cNvPr id="60" name="Tile58">
          <a:extLst>
            <a:ext uri="{FF2B5EF4-FFF2-40B4-BE49-F238E27FC236}">
              <a16:creationId xmlns:a16="http://schemas.microsoft.com/office/drawing/2014/main" id="{9CB82C66-D856-4DAA-B83F-CFCDF0809D7E}"/>
            </a:ext>
          </a:extLst>
        </xdr:cNvPr>
        <xdr:cNvSpPr/>
      </xdr:nvSpPr>
      <xdr:spPr>
        <a:xfrm>
          <a:off x="3854347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58</a:t>
          </a:r>
        </a:p>
      </xdr:txBody>
    </xdr:sp>
    <xdr:clientData/>
  </xdr:twoCellAnchor>
  <xdr:twoCellAnchor>
    <xdr:from>
      <xdr:col>45</xdr:col>
      <xdr:colOff>63030</xdr:colOff>
      <xdr:row>36</xdr:row>
      <xdr:rowOff>76200</xdr:rowOff>
    </xdr:from>
    <xdr:to>
      <xdr:col>50</xdr:col>
      <xdr:colOff>32220</xdr:colOff>
      <xdr:row>42</xdr:row>
      <xdr:rowOff>19050</xdr:rowOff>
    </xdr:to>
    <xdr:sp macro="" textlink="">
      <xdr:nvSpPr>
        <xdr:cNvPr id="61" name="Tile59">
          <a:extLst>
            <a:ext uri="{FF2B5EF4-FFF2-40B4-BE49-F238E27FC236}">
              <a16:creationId xmlns:a16="http://schemas.microsoft.com/office/drawing/2014/main" id="{E2A56476-89F0-440D-B9D0-1D6622C03AFA}"/>
            </a:ext>
          </a:extLst>
        </xdr:cNvPr>
        <xdr:cNvSpPr/>
      </xdr:nvSpPr>
      <xdr:spPr>
        <a:xfrm>
          <a:off x="4349280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59</a:t>
          </a:r>
        </a:p>
      </xdr:txBody>
    </xdr:sp>
    <xdr:clientData/>
  </xdr:twoCellAnchor>
  <xdr:twoCellAnchor>
    <xdr:from>
      <xdr:col>50</xdr:col>
      <xdr:colOff>81714</xdr:colOff>
      <xdr:row>36</xdr:row>
      <xdr:rowOff>76200</xdr:rowOff>
    </xdr:from>
    <xdr:to>
      <xdr:col>55</xdr:col>
      <xdr:colOff>50904</xdr:colOff>
      <xdr:row>42</xdr:row>
      <xdr:rowOff>19050</xdr:rowOff>
    </xdr:to>
    <xdr:sp macro="" textlink="">
      <xdr:nvSpPr>
        <xdr:cNvPr id="62" name="Tile60">
          <a:extLst>
            <a:ext uri="{FF2B5EF4-FFF2-40B4-BE49-F238E27FC236}">
              <a16:creationId xmlns:a16="http://schemas.microsoft.com/office/drawing/2014/main" id="{B69672F7-3415-4543-90D5-8BC2590D2EFC}"/>
            </a:ext>
          </a:extLst>
        </xdr:cNvPr>
        <xdr:cNvSpPr/>
      </xdr:nvSpPr>
      <xdr:spPr>
        <a:xfrm>
          <a:off x="4844214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60</a:t>
          </a:r>
        </a:p>
      </xdr:txBody>
    </xdr:sp>
    <xdr:clientData/>
  </xdr:twoCellAnchor>
  <xdr:twoCellAnchor>
    <xdr:from>
      <xdr:col>56</xdr:col>
      <xdr:colOff>5147</xdr:colOff>
      <xdr:row>36</xdr:row>
      <xdr:rowOff>76200</xdr:rowOff>
    </xdr:from>
    <xdr:to>
      <xdr:col>60</xdr:col>
      <xdr:colOff>69587</xdr:colOff>
      <xdr:row>42</xdr:row>
      <xdr:rowOff>19050</xdr:rowOff>
    </xdr:to>
    <xdr:sp macro="" textlink="">
      <xdr:nvSpPr>
        <xdr:cNvPr id="63" name="Tile61">
          <a:extLst>
            <a:ext uri="{FF2B5EF4-FFF2-40B4-BE49-F238E27FC236}">
              <a16:creationId xmlns:a16="http://schemas.microsoft.com/office/drawing/2014/main" id="{4B8BA1A1-FB6D-4BF8-813E-35719D3DF911}"/>
            </a:ext>
          </a:extLst>
        </xdr:cNvPr>
        <xdr:cNvSpPr/>
      </xdr:nvSpPr>
      <xdr:spPr>
        <a:xfrm>
          <a:off x="5339147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61</a:t>
          </a:r>
        </a:p>
      </xdr:txBody>
    </xdr:sp>
    <xdr:clientData/>
  </xdr:twoCellAnchor>
  <xdr:twoCellAnchor>
    <xdr:from>
      <xdr:col>61</xdr:col>
      <xdr:colOff>23831</xdr:colOff>
      <xdr:row>36</xdr:row>
      <xdr:rowOff>76200</xdr:rowOff>
    </xdr:from>
    <xdr:to>
      <xdr:col>65</xdr:col>
      <xdr:colOff>88271</xdr:colOff>
      <xdr:row>42</xdr:row>
      <xdr:rowOff>19050</xdr:rowOff>
    </xdr:to>
    <xdr:sp macro="" textlink="">
      <xdr:nvSpPr>
        <xdr:cNvPr id="64" name="Tile62">
          <a:extLst>
            <a:ext uri="{FF2B5EF4-FFF2-40B4-BE49-F238E27FC236}">
              <a16:creationId xmlns:a16="http://schemas.microsoft.com/office/drawing/2014/main" id="{90A29064-02FD-49AF-B50E-5C1042C2C4D2}"/>
            </a:ext>
          </a:extLst>
        </xdr:cNvPr>
        <xdr:cNvSpPr/>
      </xdr:nvSpPr>
      <xdr:spPr>
        <a:xfrm>
          <a:off x="5834081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62</a:t>
          </a:r>
        </a:p>
      </xdr:txBody>
    </xdr:sp>
    <xdr:clientData/>
  </xdr:twoCellAnchor>
  <xdr:twoCellAnchor>
    <xdr:from>
      <xdr:col>66</xdr:col>
      <xdr:colOff>42514</xdr:colOff>
      <xdr:row>36</xdr:row>
      <xdr:rowOff>76200</xdr:rowOff>
    </xdr:from>
    <xdr:to>
      <xdr:col>71</xdr:col>
      <xdr:colOff>11704</xdr:colOff>
      <xdr:row>42</xdr:row>
      <xdr:rowOff>19050</xdr:rowOff>
    </xdr:to>
    <xdr:sp macro="" textlink="">
      <xdr:nvSpPr>
        <xdr:cNvPr id="65" name="Tile63">
          <a:extLst>
            <a:ext uri="{FF2B5EF4-FFF2-40B4-BE49-F238E27FC236}">
              <a16:creationId xmlns:a16="http://schemas.microsoft.com/office/drawing/2014/main" id="{92E7A1DF-E6F1-4568-9AF7-AC1677EE04D9}"/>
            </a:ext>
          </a:extLst>
        </xdr:cNvPr>
        <xdr:cNvSpPr/>
      </xdr:nvSpPr>
      <xdr:spPr>
        <a:xfrm>
          <a:off x="6329014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63</a:t>
          </a:r>
        </a:p>
      </xdr:txBody>
    </xdr:sp>
    <xdr:clientData/>
  </xdr:twoCellAnchor>
  <xdr:twoCellAnchor>
    <xdr:from>
      <xdr:col>27</xdr:col>
      <xdr:colOff>45263</xdr:colOff>
      <xdr:row>41</xdr:row>
      <xdr:rowOff>28575</xdr:rowOff>
    </xdr:from>
    <xdr:to>
      <xdr:col>32</xdr:col>
      <xdr:colOff>14453</xdr:colOff>
      <xdr:row>46</xdr:row>
      <xdr:rowOff>66675</xdr:rowOff>
    </xdr:to>
    <xdr:sp macro="" textlink="">
      <xdr:nvSpPr>
        <xdr:cNvPr id="66" name="Tile64">
          <a:extLst>
            <a:ext uri="{FF2B5EF4-FFF2-40B4-BE49-F238E27FC236}">
              <a16:creationId xmlns:a16="http://schemas.microsoft.com/office/drawing/2014/main" id="{276FF4E8-FE14-4316-A762-D068CE96C5A5}"/>
            </a:ext>
          </a:extLst>
        </xdr:cNvPr>
        <xdr:cNvSpPr/>
      </xdr:nvSpPr>
      <xdr:spPr>
        <a:xfrm>
          <a:off x="2617013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64</a:t>
          </a:r>
        </a:p>
      </xdr:txBody>
    </xdr:sp>
    <xdr:clientData/>
  </xdr:twoCellAnchor>
  <xdr:twoCellAnchor>
    <xdr:from>
      <xdr:col>32</xdr:col>
      <xdr:colOff>63946</xdr:colOff>
      <xdr:row>41</xdr:row>
      <xdr:rowOff>28575</xdr:rowOff>
    </xdr:from>
    <xdr:to>
      <xdr:col>37</xdr:col>
      <xdr:colOff>33136</xdr:colOff>
      <xdr:row>46</xdr:row>
      <xdr:rowOff>66675</xdr:rowOff>
    </xdr:to>
    <xdr:sp macro="" textlink="">
      <xdr:nvSpPr>
        <xdr:cNvPr id="67" name="Tile65">
          <a:extLst>
            <a:ext uri="{FF2B5EF4-FFF2-40B4-BE49-F238E27FC236}">
              <a16:creationId xmlns:a16="http://schemas.microsoft.com/office/drawing/2014/main" id="{DA5773DF-D759-447A-9773-B59AA13B765C}"/>
            </a:ext>
          </a:extLst>
        </xdr:cNvPr>
        <xdr:cNvSpPr/>
      </xdr:nvSpPr>
      <xdr:spPr>
        <a:xfrm>
          <a:off x="3111946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65</a:t>
          </a:r>
        </a:p>
      </xdr:txBody>
    </xdr:sp>
    <xdr:clientData/>
  </xdr:twoCellAnchor>
  <xdr:twoCellAnchor>
    <xdr:from>
      <xdr:col>37</xdr:col>
      <xdr:colOff>82630</xdr:colOff>
      <xdr:row>41</xdr:row>
      <xdr:rowOff>28575</xdr:rowOff>
    </xdr:from>
    <xdr:to>
      <xdr:col>42</xdr:col>
      <xdr:colOff>51820</xdr:colOff>
      <xdr:row>46</xdr:row>
      <xdr:rowOff>66675</xdr:rowOff>
    </xdr:to>
    <xdr:sp macro="" textlink="">
      <xdr:nvSpPr>
        <xdr:cNvPr id="68" name="Tile66">
          <a:extLst>
            <a:ext uri="{FF2B5EF4-FFF2-40B4-BE49-F238E27FC236}">
              <a16:creationId xmlns:a16="http://schemas.microsoft.com/office/drawing/2014/main" id="{841341D5-37E7-4F43-99C9-E22ECA1D3B5E}"/>
            </a:ext>
          </a:extLst>
        </xdr:cNvPr>
        <xdr:cNvSpPr/>
      </xdr:nvSpPr>
      <xdr:spPr>
        <a:xfrm>
          <a:off x="3606880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66</a:t>
          </a:r>
        </a:p>
      </xdr:txBody>
    </xdr:sp>
    <xdr:clientData/>
  </xdr:twoCellAnchor>
  <xdr:twoCellAnchor>
    <xdr:from>
      <xdr:col>43</xdr:col>
      <xdr:colOff>6063</xdr:colOff>
      <xdr:row>41</xdr:row>
      <xdr:rowOff>28575</xdr:rowOff>
    </xdr:from>
    <xdr:to>
      <xdr:col>47</xdr:col>
      <xdr:colOff>70503</xdr:colOff>
      <xdr:row>46</xdr:row>
      <xdr:rowOff>66675</xdr:rowOff>
    </xdr:to>
    <xdr:sp macro="" textlink="">
      <xdr:nvSpPr>
        <xdr:cNvPr id="69" name="Tile67">
          <a:extLst>
            <a:ext uri="{FF2B5EF4-FFF2-40B4-BE49-F238E27FC236}">
              <a16:creationId xmlns:a16="http://schemas.microsoft.com/office/drawing/2014/main" id="{2E59553A-8102-4E07-9C34-572A9EAB3776}"/>
            </a:ext>
          </a:extLst>
        </xdr:cNvPr>
        <xdr:cNvSpPr/>
      </xdr:nvSpPr>
      <xdr:spPr>
        <a:xfrm>
          <a:off x="4101813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67</a:t>
          </a:r>
        </a:p>
      </xdr:txBody>
    </xdr:sp>
    <xdr:clientData/>
  </xdr:twoCellAnchor>
  <xdr:twoCellAnchor>
    <xdr:from>
      <xdr:col>48</xdr:col>
      <xdr:colOff>24747</xdr:colOff>
      <xdr:row>41</xdr:row>
      <xdr:rowOff>28575</xdr:rowOff>
    </xdr:from>
    <xdr:to>
      <xdr:col>52</xdr:col>
      <xdr:colOff>89187</xdr:colOff>
      <xdr:row>46</xdr:row>
      <xdr:rowOff>66675</xdr:rowOff>
    </xdr:to>
    <xdr:sp macro="" textlink="">
      <xdr:nvSpPr>
        <xdr:cNvPr id="70" name="Tile68">
          <a:extLst>
            <a:ext uri="{FF2B5EF4-FFF2-40B4-BE49-F238E27FC236}">
              <a16:creationId xmlns:a16="http://schemas.microsoft.com/office/drawing/2014/main" id="{2DB2A07F-6D5E-4900-8AF9-94015342099D}"/>
            </a:ext>
          </a:extLst>
        </xdr:cNvPr>
        <xdr:cNvSpPr/>
      </xdr:nvSpPr>
      <xdr:spPr>
        <a:xfrm>
          <a:off x="4596747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68</a:t>
          </a:r>
        </a:p>
      </xdr:txBody>
    </xdr:sp>
    <xdr:clientData/>
  </xdr:twoCellAnchor>
  <xdr:twoCellAnchor>
    <xdr:from>
      <xdr:col>53</xdr:col>
      <xdr:colOff>43430</xdr:colOff>
      <xdr:row>41</xdr:row>
      <xdr:rowOff>28575</xdr:rowOff>
    </xdr:from>
    <xdr:to>
      <xdr:col>58</xdr:col>
      <xdr:colOff>12620</xdr:colOff>
      <xdr:row>46</xdr:row>
      <xdr:rowOff>66675</xdr:rowOff>
    </xdr:to>
    <xdr:sp macro="" textlink="">
      <xdr:nvSpPr>
        <xdr:cNvPr id="71" name="Tile69">
          <a:extLst>
            <a:ext uri="{FF2B5EF4-FFF2-40B4-BE49-F238E27FC236}">
              <a16:creationId xmlns:a16="http://schemas.microsoft.com/office/drawing/2014/main" id="{7C9EAEC2-0EDE-412A-BD57-958D5DB3364C}"/>
            </a:ext>
          </a:extLst>
        </xdr:cNvPr>
        <xdr:cNvSpPr/>
      </xdr:nvSpPr>
      <xdr:spPr>
        <a:xfrm>
          <a:off x="5091680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69</a:t>
          </a:r>
        </a:p>
      </xdr:txBody>
    </xdr:sp>
    <xdr:clientData/>
  </xdr:twoCellAnchor>
  <xdr:twoCellAnchor>
    <xdr:from>
      <xdr:col>58</xdr:col>
      <xdr:colOff>62114</xdr:colOff>
      <xdr:row>41</xdr:row>
      <xdr:rowOff>28575</xdr:rowOff>
    </xdr:from>
    <xdr:to>
      <xdr:col>63</xdr:col>
      <xdr:colOff>31304</xdr:colOff>
      <xdr:row>46</xdr:row>
      <xdr:rowOff>66675</xdr:rowOff>
    </xdr:to>
    <xdr:sp macro="" textlink="">
      <xdr:nvSpPr>
        <xdr:cNvPr id="72" name="Tile70">
          <a:extLst>
            <a:ext uri="{FF2B5EF4-FFF2-40B4-BE49-F238E27FC236}">
              <a16:creationId xmlns:a16="http://schemas.microsoft.com/office/drawing/2014/main" id="{D50E5BE8-D286-4559-8265-D582F8E96B9B}"/>
            </a:ext>
          </a:extLst>
        </xdr:cNvPr>
        <xdr:cNvSpPr/>
      </xdr:nvSpPr>
      <xdr:spPr>
        <a:xfrm>
          <a:off x="5586614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70</a:t>
          </a:r>
        </a:p>
      </xdr:txBody>
    </xdr:sp>
    <xdr:clientData/>
  </xdr:twoCellAnchor>
  <xdr:twoCellAnchor>
    <xdr:from>
      <xdr:col>63</xdr:col>
      <xdr:colOff>80797</xdr:colOff>
      <xdr:row>41</xdr:row>
      <xdr:rowOff>28575</xdr:rowOff>
    </xdr:from>
    <xdr:to>
      <xdr:col>68</xdr:col>
      <xdr:colOff>49987</xdr:colOff>
      <xdr:row>46</xdr:row>
      <xdr:rowOff>66675</xdr:rowOff>
    </xdr:to>
    <xdr:sp macro="" textlink="">
      <xdr:nvSpPr>
        <xdr:cNvPr id="73" name="Tile71">
          <a:extLst>
            <a:ext uri="{FF2B5EF4-FFF2-40B4-BE49-F238E27FC236}">
              <a16:creationId xmlns:a16="http://schemas.microsoft.com/office/drawing/2014/main" id="{B1926CAD-F2F8-4FF3-B2AC-C7457F027CE2}"/>
            </a:ext>
          </a:extLst>
        </xdr:cNvPr>
        <xdr:cNvSpPr/>
      </xdr:nvSpPr>
      <xdr:spPr>
        <a:xfrm>
          <a:off x="6081547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71</a:t>
          </a:r>
        </a:p>
      </xdr:txBody>
    </xdr:sp>
    <xdr:clientData/>
  </xdr:twoCellAnchor>
  <xdr:twoCellAnchor>
    <xdr:from>
      <xdr:col>30</xdr:col>
      <xdr:colOff>6979</xdr:colOff>
      <xdr:row>45</xdr:row>
      <xdr:rowOff>76200</xdr:rowOff>
    </xdr:from>
    <xdr:to>
      <xdr:col>34</xdr:col>
      <xdr:colOff>71419</xdr:colOff>
      <xdr:row>51</xdr:row>
      <xdr:rowOff>19050</xdr:rowOff>
    </xdr:to>
    <xdr:sp macro="" textlink="">
      <xdr:nvSpPr>
        <xdr:cNvPr id="74" name="Tile72">
          <a:extLst>
            <a:ext uri="{FF2B5EF4-FFF2-40B4-BE49-F238E27FC236}">
              <a16:creationId xmlns:a16="http://schemas.microsoft.com/office/drawing/2014/main" id="{B642BAAF-9C3D-4DFF-9D4F-EF423FB859EF}"/>
            </a:ext>
          </a:extLst>
        </xdr:cNvPr>
        <xdr:cNvSpPr/>
      </xdr:nvSpPr>
      <xdr:spPr>
        <a:xfrm>
          <a:off x="2864479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72</a:t>
          </a:r>
        </a:p>
      </xdr:txBody>
    </xdr:sp>
    <xdr:clientData/>
  </xdr:twoCellAnchor>
  <xdr:twoCellAnchor>
    <xdr:from>
      <xdr:col>35</xdr:col>
      <xdr:colOff>25663</xdr:colOff>
      <xdr:row>45</xdr:row>
      <xdr:rowOff>76200</xdr:rowOff>
    </xdr:from>
    <xdr:to>
      <xdr:col>39</xdr:col>
      <xdr:colOff>90103</xdr:colOff>
      <xdr:row>51</xdr:row>
      <xdr:rowOff>19050</xdr:rowOff>
    </xdr:to>
    <xdr:sp macro="" textlink="">
      <xdr:nvSpPr>
        <xdr:cNvPr id="75" name="Tile73">
          <a:extLst>
            <a:ext uri="{FF2B5EF4-FFF2-40B4-BE49-F238E27FC236}">
              <a16:creationId xmlns:a16="http://schemas.microsoft.com/office/drawing/2014/main" id="{ABF47C46-F4B8-4698-BCBB-DCEF3AA19A46}"/>
            </a:ext>
          </a:extLst>
        </xdr:cNvPr>
        <xdr:cNvSpPr/>
      </xdr:nvSpPr>
      <xdr:spPr>
        <a:xfrm>
          <a:off x="3359413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73</a:t>
          </a:r>
        </a:p>
      </xdr:txBody>
    </xdr:sp>
    <xdr:clientData/>
  </xdr:twoCellAnchor>
  <xdr:twoCellAnchor>
    <xdr:from>
      <xdr:col>40</xdr:col>
      <xdr:colOff>44347</xdr:colOff>
      <xdr:row>45</xdr:row>
      <xdr:rowOff>76200</xdr:rowOff>
    </xdr:from>
    <xdr:to>
      <xdr:col>45</xdr:col>
      <xdr:colOff>13537</xdr:colOff>
      <xdr:row>51</xdr:row>
      <xdr:rowOff>19050</xdr:rowOff>
    </xdr:to>
    <xdr:sp macro="" textlink="">
      <xdr:nvSpPr>
        <xdr:cNvPr id="76" name="Tile74">
          <a:extLst>
            <a:ext uri="{FF2B5EF4-FFF2-40B4-BE49-F238E27FC236}">
              <a16:creationId xmlns:a16="http://schemas.microsoft.com/office/drawing/2014/main" id="{55BAF2DE-4F0A-45C9-955B-AA1C65A98940}"/>
            </a:ext>
          </a:extLst>
        </xdr:cNvPr>
        <xdr:cNvSpPr/>
      </xdr:nvSpPr>
      <xdr:spPr>
        <a:xfrm>
          <a:off x="3854347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74</a:t>
          </a:r>
        </a:p>
      </xdr:txBody>
    </xdr:sp>
    <xdr:clientData/>
  </xdr:twoCellAnchor>
  <xdr:twoCellAnchor>
    <xdr:from>
      <xdr:col>45</xdr:col>
      <xdr:colOff>63030</xdr:colOff>
      <xdr:row>45</xdr:row>
      <xdr:rowOff>76200</xdr:rowOff>
    </xdr:from>
    <xdr:to>
      <xdr:col>50</xdr:col>
      <xdr:colOff>32220</xdr:colOff>
      <xdr:row>51</xdr:row>
      <xdr:rowOff>19050</xdr:rowOff>
    </xdr:to>
    <xdr:sp macro="" textlink="">
      <xdr:nvSpPr>
        <xdr:cNvPr id="77" name="Tile75">
          <a:extLst>
            <a:ext uri="{FF2B5EF4-FFF2-40B4-BE49-F238E27FC236}">
              <a16:creationId xmlns:a16="http://schemas.microsoft.com/office/drawing/2014/main" id="{1C2F07D7-FBA0-4A57-853C-4E909A969B2F}"/>
            </a:ext>
          </a:extLst>
        </xdr:cNvPr>
        <xdr:cNvSpPr/>
      </xdr:nvSpPr>
      <xdr:spPr>
        <a:xfrm>
          <a:off x="4349280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75</a:t>
          </a:r>
        </a:p>
      </xdr:txBody>
    </xdr:sp>
    <xdr:clientData/>
  </xdr:twoCellAnchor>
  <xdr:twoCellAnchor>
    <xdr:from>
      <xdr:col>50</xdr:col>
      <xdr:colOff>81714</xdr:colOff>
      <xdr:row>45</xdr:row>
      <xdr:rowOff>76200</xdr:rowOff>
    </xdr:from>
    <xdr:to>
      <xdr:col>55</xdr:col>
      <xdr:colOff>50904</xdr:colOff>
      <xdr:row>51</xdr:row>
      <xdr:rowOff>19050</xdr:rowOff>
    </xdr:to>
    <xdr:sp macro="" textlink="">
      <xdr:nvSpPr>
        <xdr:cNvPr id="78" name="Tile76">
          <a:extLst>
            <a:ext uri="{FF2B5EF4-FFF2-40B4-BE49-F238E27FC236}">
              <a16:creationId xmlns:a16="http://schemas.microsoft.com/office/drawing/2014/main" id="{756859B7-8AD6-4B9C-93F3-B0F98487E289}"/>
            </a:ext>
          </a:extLst>
        </xdr:cNvPr>
        <xdr:cNvSpPr/>
      </xdr:nvSpPr>
      <xdr:spPr>
        <a:xfrm>
          <a:off x="4844214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76</a:t>
          </a:r>
        </a:p>
      </xdr:txBody>
    </xdr:sp>
    <xdr:clientData/>
  </xdr:twoCellAnchor>
  <xdr:twoCellAnchor>
    <xdr:from>
      <xdr:col>56</xdr:col>
      <xdr:colOff>5147</xdr:colOff>
      <xdr:row>45</xdr:row>
      <xdr:rowOff>76200</xdr:rowOff>
    </xdr:from>
    <xdr:to>
      <xdr:col>60</xdr:col>
      <xdr:colOff>69587</xdr:colOff>
      <xdr:row>51</xdr:row>
      <xdr:rowOff>19050</xdr:rowOff>
    </xdr:to>
    <xdr:sp macro="" textlink="">
      <xdr:nvSpPr>
        <xdr:cNvPr id="79" name="Tile77">
          <a:extLst>
            <a:ext uri="{FF2B5EF4-FFF2-40B4-BE49-F238E27FC236}">
              <a16:creationId xmlns:a16="http://schemas.microsoft.com/office/drawing/2014/main" id="{6A2B5C59-0A6E-4115-A27C-3AF6FD40A417}"/>
            </a:ext>
          </a:extLst>
        </xdr:cNvPr>
        <xdr:cNvSpPr/>
      </xdr:nvSpPr>
      <xdr:spPr>
        <a:xfrm>
          <a:off x="5339147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77</a:t>
          </a:r>
        </a:p>
      </xdr:txBody>
    </xdr:sp>
    <xdr:clientData/>
  </xdr:twoCellAnchor>
  <xdr:twoCellAnchor>
    <xdr:from>
      <xdr:col>61</xdr:col>
      <xdr:colOff>23831</xdr:colOff>
      <xdr:row>45</xdr:row>
      <xdr:rowOff>76200</xdr:rowOff>
    </xdr:from>
    <xdr:to>
      <xdr:col>65</xdr:col>
      <xdr:colOff>88271</xdr:colOff>
      <xdr:row>51</xdr:row>
      <xdr:rowOff>19050</xdr:rowOff>
    </xdr:to>
    <xdr:sp macro="" textlink="">
      <xdr:nvSpPr>
        <xdr:cNvPr id="80" name="Tile78">
          <a:extLst>
            <a:ext uri="{FF2B5EF4-FFF2-40B4-BE49-F238E27FC236}">
              <a16:creationId xmlns:a16="http://schemas.microsoft.com/office/drawing/2014/main" id="{2DE03F3C-1588-4489-A3FD-A05F2FAF071F}"/>
            </a:ext>
          </a:extLst>
        </xdr:cNvPr>
        <xdr:cNvSpPr/>
      </xdr:nvSpPr>
      <xdr:spPr>
        <a:xfrm>
          <a:off x="5834081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78</a:t>
          </a:r>
        </a:p>
      </xdr:txBody>
    </xdr:sp>
    <xdr:clientData/>
  </xdr:twoCellAnchor>
  <xdr:twoCellAnchor>
    <xdr:from>
      <xdr:col>38</xdr:col>
      <xdr:colOff>0</xdr:colOff>
      <xdr:row>2</xdr:row>
      <xdr:rowOff>0</xdr:rowOff>
    </xdr:from>
    <xdr:to>
      <xdr:col>52</xdr:col>
      <xdr:colOff>0</xdr:colOff>
      <xdr:row>5</xdr:row>
      <xdr:rowOff>0</xdr:rowOff>
    </xdr:to>
    <xdr:sp macro="[0]!export_level.export_level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615111AA-4423-4691-9F99-315283D02D50}"/>
            </a:ext>
          </a:extLst>
        </xdr:cNvPr>
        <xdr:cNvSpPr/>
      </xdr:nvSpPr>
      <xdr:spPr>
        <a:xfrm>
          <a:off x="3619500" y="190500"/>
          <a:ext cx="13335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6979</xdr:colOff>
      <xdr:row>9</xdr:row>
      <xdr:rowOff>76200</xdr:rowOff>
    </xdr:from>
    <xdr:to>
      <xdr:col>34</xdr:col>
      <xdr:colOff>71419</xdr:colOff>
      <xdr:row>15</xdr:row>
      <xdr:rowOff>19050</xdr:rowOff>
    </xdr:to>
    <xdr:sp macro="" textlink="">
      <xdr:nvSpPr>
        <xdr:cNvPr id="2" name="Tile0">
          <a:extLst>
            <a:ext uri="{FF2B5EF4-FFF2-40B4-BE49-F238E27FC236}">
              <a16:creationId xmlns:a16="http://schemas.microsoft.com/office/drawing/2014/main" id="{4CE915CA-7E84-46B7-9304-8549E504829B}"/>
            </a:ext>
          </a:extLst>
        </xdr:cNvPr>
        <xdr:cNvSpPr/>
      </xdr:nvSpPr>
      <xdr:spPr>
        <a:xfrm>
          <a:off x="2864479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rgbClr val="FFFF00"/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0</a:t>
          </a:r>
        </a:p>
      </xdr:txBody>
    </xdr:sp>
    <xdr:clientData/>
  </xdr:twoCellAnchor>
  <xdr:twoCellAnchor>
    <xdr:from>
      <xdr:col>35</xdr:col>
      <xdr:colOff>25663</xdr:colOff>
      <xdr:row>9</xdr:row>
      <xdr:rowOff>76200</xdr:rowOff>
    </xdr:from>
    <xdr:to>
      <xdr:col>39</xdr:col>
      <xdr:colOff>90103</xdr:colOff>
      <xdr:row>15</xdr:row>
      <xdr:rowOff>19050</xdr:rowOff>
    </xdr:to>
    <xdr:sp macro="" textlink="">
      <xdr:nvSpPr>
        <xdr:cNvPr id="3" name="Tile1">
          <a:extLst>
            <a:ext uri="{FF2B5EF4-FFF2-40B4-BE49-F238E27FC236}">
              <a16:creationId xmlns:a16="http://schemas.microsoft.com/office/drawing/2014/main" id="{F7610E65-831B-4E31-AD79-1A9B47C6504D}"/>
            </a:ext>
          </a:extLst>
        </xdr:cNvPr>
        <xdr:cNvSpPr/>
      </xdr:nvSpPr>
      <xdr:spPr>
        <a:xfrm>
          <a:off x="3359413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</a:t>
          </a:r>
        </a:p>
      </xdr:txBody>
    </xdr:sp>
    <xdr:clientData/>
  </xdr:twoCellAnchor>
  <xdr:twoCellAnchor>
    <xdr:from>
      <xdr:col>40</xdr:col>
      <xdr:colOff>44347</xdr:colOff>
      <xdr:row>9</xdr:row>
      <xdr:rowOff>76200</xdr:rowOff>
    </xdr:from>
    <xdr:to>
      <xdr:col>45</xdr:col>
      <xdr:colOff>13537</xdr:colOff>
      <xdr:row>15</xdr:row>
      <xdr:rowOff>19050</xdr:rowOff>
    </xdr:to>
    <xdr:sp macro="" textlink="">
      <xdr:nvSpPr>
        <xdr:cNvPr id="4" name="Tile2">
          <a:extLst>
            <a:ext uri="{FF2B5EF4-FFF2-40B4-BE49-F238E27FC236}">
              <a16:creationId xmlns:a16="http://schemas.microsoft.com/office/drawing/2014/main" id="{7A8BD0F1-AD2D-4A42-88EF-0C6E106EF930}"/>
            </a:ext>
          </a:extLst>
        </xdr:cNvPr>
        <xdr:cNvSpPr/>
      </xdr:nvSpPr>
      <xdr:spPr>
        <a:xfrm>
          <a:off x="3854347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</a:t>
          </a:r>
        </a:p>
      </xdr:txBody>
    </xdr:sp>
    <xdr:clientData/>
  </xdr:twoCellAnchor>
  <xdr:twoCellAnchor>
    <xdr:from>
      <xdr:col>45</xdr:col>
      <xdr:colOff>63030</xdr:colOff>
      <xdr:row>9</xdr:row>
      <xdr:rowOff>76200</xdr:rowOff>
    </xdr:from>
    <xdr:to>
      <xdr:col>50</xdr:col>
      <xdr:colOff>32220</xdr:colOff>
      <xdr:row>15</xdr:row>
      <xdr:rowOff>19050</xdr:rowOff>
    </xdr:to>
    <xdr:sp macro="" textlink="">
      <xdr:nvSpPr>
        <xdr:cNvPr id="5" name="Tile3">
          <a:extLst>
            <a:ext uri="{FF2B5EF4-FFF2-40B4-BE49-F238E27FC236}">
              <a16:creationId xmlns:a16="http://schemas.microsoft.com/office/drawing/2014/main" id="{0BEB0177-DA69-4601-91FB-4C6926E37B1D}"/>
            </a:ext>
          </a:extLst>
        </xdr:cNvPr>
        <xdr:cNvSpPr/>
      </xdr:nvSpPr>
      <xdr:spPr>
        <a:xfrm>
          <a:off x="4349280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</a:t>
          </a:r>
        </a:p>
      </xdr:txBody>
    </xdr:sp>
    <xdr:clientData/>
  </xdr:twoCellAnchor>
  <xdr:twoCellAnchor>
    <xdr:from>
      <xdr:col>50</xdr:col>
      <xdr:colOff>81714</xdr:colOff>
      <xdr:row>9</xdr:row>
      <xdr:rowOff>76200</xdr:rowOff>
    </xdr:from>
    <xdr:to>
      <xdr:col>55</xdr:col>
      <xdr:colOff>50904</xdr:colOff>
      <xdr:row>15</xdr:row>
      <xdr:rowOff>19050</xdr:rowOff>
    </xdr:to>
    <xdr:sp macro="" textlink="">
      <xdr:nvSpPr>
        <xdr:cNvPr id="6" name="Tile4">
          <a:extLst>
            <a:ext uri="{FF2B5EF4-FFF2-40B4-BE49-F238E27FC236}">
              <a16:creationId xmlns:a16="http://schemas.microsoft.com/office/drawing/2014/main" id="{09652982-BA60-448E-B4D1-A23F42E2D14E}"/>
            </a:ext>
          </a:extLst>
        </xdr:cNvPr>
        <xdr:cNvSpPr/>
      </xdr:nvSpPr>
      <xdr:spPr>
        <a:xfrm>
          <a:off x="4844214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</a:t>
          </a:r>
        </a:p>
      </xdr:txBody>
    </xdr:sp>
    <xdr:clientData/>
  </xdr:twoCellAnchor>
  <xdr:twoCellAnchor>
    <xdr:from>
      <xdr:col>56</xdr:col>
      <xdr:colOff>5147</xdr:colOff>
      <xdr:row>9</xdr:row>
      <xdr:rowOff>76200</xdr:rowOff>
    </xdr:from>
    <xdr:to>
      <xdr:col>60</xdr:col>
      <xdr:colOff>69587</xdr:colOff>
      <xdr:row>15</xdr:row>
      <xdr:rowOff>19050</xdr:rowOff>
    </xdr:to>
    <xdr:sp macro="" textlink="">
      <xdr:nvSpPr>
        <xdr:cNvPr id="7" name="Tile5">
          <a:extLst>
            <a:ext uri="{FF2B5EF4-FFF2-40B4-BE49-F238E27FC236}">
              <a16:creationId xmlns:a16="http://schemas.microsoft.com/office/drawing/2014/main" id="{28A70F3B-634B-4A69-A2AC-4DA4FE801CB3}"/>
            </a:ext>
          </a:extLst>
        </xdr:cNvPr>
        <xdr:cNvSpPr/>
      </xdr:nvSpPr>
      <xdr:spPr>
        <a:xfrm>
          <a:off x="5339147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</a:t>
          </a:r>
        </a:p>
      </xdr:txBody>
    </xdr:sp>
    <xdr:clientData/>
  </xdr:twoCellAnchor>
  <xdr:twoCellAnchor>
    <xdr:from>
      <xdr:col>61</xdr:col>
      <xdr:colOff>23831</xdr:colOff>
      <xdr:row>9</xdr:row>
      <xdr:rowOff>76200</xdr:rowOff>
    </xdr:from>
    <xdr:to>
      <xdr:col>65</xdr:col>
      <xdr:colOff>88271</xdr:colOff>
      <xdr:row>15</xdr:row>
      <xdr:rowOff>19050</xdr:rowOff>
    </xdr:to>
    <xdr:sp macro="" textlink="">
      <xdr:nvSpPr>
        <xdr:cNvPr id="8" name="Tile6">
          <a:extLst>
            <a:ext uri="{FF2B5EF4-FFF2-40B4-BE49-F238E27FC236}">
              <a16:creationId xmlns:a16="http://schemas.microsoft.com/office/drawing/2014/main" id="{3D1474D5-47C0-4925-92C3-25EF570BDACA}"/>
            </a:ext>
          </a:extLst>
        </xdr:cNvPr>
        <xdr:cNvSpPr/>
      </xdr:nvSpPr>
      <xdr:spPr>
        <a:xfrm>
          <a:off x="5834081" y="933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</a:t>
          </a:r>
        </a:p>
      </xdr:txBody>
    </xdr:sp>
    <xdr:clientData/>
  </xdr:twoCellAnchor>
  <xdr:twoCellAnchor>
    <xdr:from>
      <xdr:col>27</xdr:col>
      <xdr:colOff>45263</xdr:colOff>
      <xdr:row>14</xdr:row>
      <xdr:rowOff>28575</xdr:rowOff>
    </xdr:from>
    <xdr:to>
      <xdr:col>32</xdr:col>
      <xdr:colOff>14453</xdr:colOff>
      <xdr:row>19</xdr:row>
      <xdr:rowOff>66675</xdr:rowOff>
    </xdr:to>
    <xdr:sp macro="" textlink="">
      <xdr:nvSpPr>
        <xdr:cNvPr id="9" name="Tile7">
          <a:extLst>
            <a:ext uri="{FF2B5EF4-FFF2-40B4-BE49-F238E27FC236}">
              <a16:creationId xmlns:a16="http://schemas.microsoft.com/office/drawing/2014/main" id="{C12FA4FF-342A-48A4-952F-DC8385F93D32}"/>
            </a:ext>
          </a:extLst>
        </xdr:cNvPr>
        <xdr:cNvSpPr/>
      </xdr:nvSpPr>
      <xdr:spPr>
        <a:xfrm>
          <a:off x="2617013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</a:t>
          </a:r>
        </a:p>
      </xdr:txBody>
    </xdr:sp>
    <xdr:clientData/>
  </xdr:twoCellAnchor>
  <xdr:twoCellAnchor>
    <xdr:from>
      <xdr:col>32</xdr:col>
      <xdr:colOff>63946</xdr:colOff>
      <xdr:row>14</xdr:row>
      <xdr:rowOff>28575</xdr:rowOff>
    </xdr:from>
    <xdr:to>
      <xdr:col>37</xdr:col>
      <xdr:colOff>33136</xdr:colOff>
      <xdr:row>19</xdr:row>
      <xdr:rowOff>66675</xdr:rowOff>
    </xdr:to>
    <xdr:sp macro="" textlink="">
      <xdr:nvSpPr>
        <xdr:cNvPr id="10" name="Tile8">
          <a:extLst>
            <a:ext uri="{FF2B5EF4-FFF2-40B4-BE49-F238E27FC236}">
              <a16:creationId xmlns:a16="http://schemas.microsoft.com/office/drawing/2014/main" id="{068D9F57-56EF-4340-BE76-4788D622EEA1}"/>
            </a:ext>
          </a:extLst>
        </xdr:cNvPr>
        <xdr:cNvSpPr/>
      </xdr:nvSpPr>
      <xdr:spPr>
        <a:xfrm>
          <a:off x="3111946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8</a:t>
          </a:r>
        </a:p>
      </xdr:txBody>
    </xdr:sp>
    <xdr:clientData/>
  </xdr:twoCellAnchor>
  <xdr:twoCellAnchor>
    <xdr:from>
      <xdr:col>37</xdr:col>
      <xdr:colOff>82630</xdr:colOff>
      <xdr:row>14</xdr:row>
      <xdr:rowOff>28575</xdr:rowOff>
    </xdr:from>
    <xdr:to>
      <xdr:col>42</xdr:col>
      <xdr:colOff>51820</xdr:colOff>
      <xdr:row>19</xdr:row>
      <xdr:rowOff>66675</xdr:rowOff>
    </xdr:to>
    <xdr:sp macro="" textlink="">
      <xdr:nvSpPr>
        <xdr:cNvPr id="11" name="Tile9">
          <a:extLst>
            <a:ext uri="{FF2B5EF4-FFF2-40B4-BE49-F238E27FC236}">
              <a16:creationId xmlns:a16="http://schemas.microsoft.com/office/drawing/2014/main" id="{2FE830DA-D8FE-41C7-BA6C-EED4F3401BF6}"/>
            </a:ext>
          </a:extLst>
        </xdr:cNvPr>
        <xdr:cNvSpPr/>
      </xdr:nvSpPr>
      <xdr:spPr>
        <a:xfrm>
          <a:off x="3606880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9</a:t>
          </a:r>
        </a:p>
      </xdr:txBody>
    </xdr:sp>
    <xdr:clientData/>
  </xdr:twoCellAnchor>
  <xdr:twoCellAnchor>
    <xdr:from>
      <xdr:col>43</xdr:col>
      <xdr:colOff>6063</xdr:colOff>
      <xdr:row>14</xdr:row>
      <xdr:rowOff>28575</xdr:rowOff>
    </xdr:from>
    <xdr:to>
      <xdr:col>47</xdr:col>
      <xdr:colOff>70503</xdr:colOff>
      <xdr:row>19</xdr:row>
      <xdr:rowOff>66675</xdr:rowOff>
    </xdr:to>
    <xdr:sp macro="" textlink="">
      <xdr:nvSpPr>
        <xdr:cNvPr id="12" name="Tile10">
          <a:extLst>
            <a:ext uri="{FF2B5EF4-FFF2-40B4-BE49-F238E27FC236}">
              <a16:creationId xmlns:a16="http://schemas.microsoft.com/office/drawing/2014/main" id="{DAE1C5F0-E2D8-40E5-9C1B-0457B959F599}"/>
            </a:ext>
          </a:extLst>
        </xdr:cNvPr>
        <xdr:cNvSpPr/>
      </xdr:nvSpPr>
      <xdr:spPr>
        <a:xfrm>
          <a:off x="4101813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rgbClr val="FFFF00"/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10</a:t>
          </a:r>
        </a:p>
      </xdr:txBody>
    </xdr:sp>
    <xdr:clientData/>
  </xdr:twoCellAnchor>
  <xdr:twoCellAnchor>
    <xdr:from>
      <xdr:col>48</xdr:col>
      <xdr:colOff>24747</xdr:colOff>
      <xdr:row>14</xdr:row>
      <xdr:rowOff>28575</xdr:rowOff>
    </xdr:from>
    <xdr:to>
      <xdr:col>52</xdr:col>
      <xdr:colOff>89187</xdr:colOff>
      <xdr:row>19</xdr:row>
      <xdr:rowOff>66675</xdr:rowOff>
    </xdr:to>
    <xdr:sp macro="" textlink="">
      <xdr:nvSpPr>
        <xdr:cNvPr id="13" name="Tile11">
          <a:extLst>
            <a:ext uri="{FF2B5EF4-FFF2-40B4-BE49-F238E27FC236}">
              <a16:creationId xmlns:a16="http://schemas.microsoft.com/office/drawing/2014/main" id="{D9C57666-0F1F-4FA7-93C3-81EB503DF6F5}"/>
            </a:ext>
          </a:extLst>
        </xdr:cNvPr>
        <xdr:cNvSpPr/>
      </xdr:nvSpPr>
      <xdr:spPr>
        <a:xfrm>
          <a:off x="4596747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11</a:t>
          </a:r>
        </a:p>
      </xdr:txBody>
    </xdr:sp>
    <xdr:clientData/>
  </xdr:twoCellAnchor>
  <xdr:twoCellAnchor>
    <xdr:from>
      <xdr:col>53</xdr:col>
      <xdr:colOff>43430</xdr:colOff>
      <xdr:row>14</xdr:row>
      <xdr:rowOff>28575</xdr:rowOff>
    </xdr:from>
    <xdr:to>
      <xdr:col>58</xdr:col>
      <xdr:colOff>12620</xdr:colOff>
      <xdr:row>19</xdr:row>
      <xdr:rowOff>66675</xdr:rowOff>
    </xdr:to>
    <xdr:sp macro="" textlink="">
      <xdr:nvSpPr>
        <xdr:cNvPr id="14" name="Tile12">
          <a:extLst>
            <a:ext uri="{FF2B5EF4-FFF2-40B4-BE49-F238E27FC236}">
              <a16:creationId xmlns:a16="http://schemas.microsoft.com/office/drawing/2014/main" id="{5D11B6D2-81F3-4188-ACA0-32C394C004BD}"/>
            </a:ext>
          </a:extLst>
        </xdr:cNvPr>
        <xdr:cNvSpPr/>
      </xdr:nvSpPr>
      <xdr:spPr>
        <a:xfrm>
          <a:off x="5091680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12</a:t>
          </a:r>
        </a:p>
      </xdr:txBody>
    </xdr:sp>
    <xdr:clientData/>
  </xdr:twoCellAnchor>
  <xdr:twoCellAnchor>
    <xdr:from>
      <xdr:col>58</xdr:col>
      <xdr:colOff>62114</xdr:colOff>
      <xdr:row>14</xdr:row>
      <xdr:rowOff>28575</xdr:rowOff>
    </xdr:from>
    <xdr:to>
      <xdr:col>63</xdr:col>
      <xdr:colOff>31304</xdr:colOff>
      <xdr:row>19</xdr:row>
      <xdr:rowOff>66675</xdr:rowOff>
    </xdr:to>
    <xdr:sp macro="" textlink="">
      <xdr:nvSpPr>
        <xdr:cNvPr id="15" name="Tile13">
          <a:extLst>
            <a:ext uri="{FF2B5EF4-FFF2-40B4-BE49-F238E27FC236}">
              <a16:creationId xmlns:a16="http://schemas.microsoft.com/office/drawing/2014/main" id="{D59EC9F6-423F-465B-AB75-C0E0EC3C7DF7}"/>
            </a:ext>
          </a:extLst>
        </xdr:cNvPr>
        <xdr:cNvSpPr/>
      </xdr:nvSpPr>
      <xdr:spPr>
        <a:xfrm>
          <a:off x="5586614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13</a:t>
          </a:r>
        </a:p>
      </xdr:txBody>
    </xdr:sp>
    <xdr:clientData/>
  </xdr:twoCellAnchor>
  <xdr:twoCellAnchor>
    <xdr:from>
      <xdr:col>63</xdr:col>
      <xdr:colOff>80797</xdr:colOff>
      <xdr:row>14</xdr:row>
      <xdr:rowOff>28575</xdr:rowOff>
    </xdr:from>
    <xdr:to>
      <xdr:col>68</xdr:col>
      <xdr:colOff>49987</xdr:colOff>
      <xdr:row>19</xdr:row>
      <xdr:rowOff>66675</xdr:rowOff>
    </xdr:to>
    <xdr:sp macro="" textlink="">
      <xdr:nvSpPr>
        <xdr:cNvPr id="16" name="Tile14">
          <a:extLst>
            <a:ext uri="{FF2B5EF4-FFF2-40B4-BE49-F238E27FC236}">
              <a16:creationId xmlns:a16="http://schemas.microsoft.com/office/drawing/2014/main" id="{D8EDDDD7-CBA8-40EA-B4DD-33FE9FC7BD79}"/>
            </a:ext>
          </a:extLst>
        </xdr:cNvPr>
        <xdr:cNvSpPr/>
      </xdr:nvSpPr>
      <xdr:spPr>
        <a:xfrm>
          <a:off x="6081547" y="13620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14</a:t>
          </a:r>
        </a:p>
      </xdr:txBody>
    </xdr:sp>
    <xdr:clientData/>
  </xdr:twoCellAnchor>
  <xdr:twoCellAnchor>
    <xdr:from>
      <xdr:col>24</xdr:col>
      <xdr:colOff>83546</xdr:colOff>
      <xdr:row>18</xdr:row>
      <xdr:rowOff>76200</xdr:rowOff>
    </xdr:from>
    <xdr:to>
      <xdr:col>29</xdr:col>
      <xdr:colOff>52736</xdr:colOff>
      <xdr:row>24</xdr:row>
      <xdr:rowOff>19050</xdr:rowOff>
    </xdr:to>
    <xdr:sp macro="" textlink="">
      <xdr:nvSpPr>
        <xdr:cNvPr id="17" name="Tile15">
          <a:extLst>
            <a:ext uri="{FF2B5EF4-FFF2-40B4-BE49-F238E27FC236}">
              <a16:creationId xmlns:a16="http://schemas.microsoft.com/office/drawing/2014/main" id="{F7620F3B-2AE2-4E42-B8DE-F2A64167BCA7}"/>
            </a:ext>
          </a:extLst>
        </xdr:cNvPr>
        <xdr:cNvSpPr/>
      </xdr:nvSpPr>
      <xdr:spPr>
        <a:xfrm>
          <a:off x="2369546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15</a:t>
          </a:r>
        </a:p>
      </xdr:txBody>
    </xdr:sp>
    <xdr:clientData/>
  </xdr:twoCellAnchor>
  <xdr:twoCellAnchor>
    <xdr:from>
      <xdr:col>30</xdr:col>
      <xdr:colOff>6979</xdr:colOff>
      <xdr:row>18</xdr:row>
      <xdr:rowOff>76200</xdr:rowOff>
    </xdr:from>
    <xdr:to>
      <xdr:col>34</xdr:col>
      <xdr:colOff>71419</xdr:colOff>
      <xdr:row>24</xdr:row>
      <xdr:rowOff>19050</xdr:rowOff>
    </xdr:to>
    <xdr:sp macro="" textlink="">
      <xdr:nvSpPr>
        <xdr:cNvPr id="18" name="Tile16">
          <a:extLst>
            <a:ext uri="{FF2B5EF4-FFF2-40B4-BE49-F238E27FC236}">
              <a16:creationId xmlns:a16="http://schemas.microsoft.com/office/drawing/2014/main" id="{199634E6-00CD-406B-848C-06079E9E8264}"/>
            </a:ext>
          </a:extLst>
        </xdr:cNvPr>
        <xdr:cNvSpPr/>
      </xdr:nvSpPr>
      <xdr:spPr>
        <a:xfrm>
          <a:off x="2864479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16</a:t>
          </a:r>
        </a:p>
      </xdr:txBody>
    </xdr:sp>
    <xdr:clientData/>
  </xdr:twoCellAnchor>
  <xdr:twoCellAnchor>
    <xdr:from>
      <xdr:col>35</xdr:col>
      <xdr:colOff>25663</xdr:colOff>
      <xdr:row>18</xdr:row>
      <xdr:rowOff>76200</xdr:rowOff>
    </xdr:from>
    <xdr:to>
      <xdr:col>39</xdr:col>
      <xdr:colOff>90103</xdr:colOff>
      <xdr:row>24</xdr:row>
      <xdr:rowOff>19050</xdr:rowOff>
    </xdr:to>
    <xdr:sp macro="" textlink="">
      <xdr:nvSpPr>
        <xdr:cNvPr id="19" name="Tile17">
          <a:extLst>
            <a:ext uri="{FF2B5EF4-FFF2-40B4-BE49-F238E27FC236}">
              <a16:creationId xmlns:a16="http://schemas.microsoft.com/office/drawing/2014/main" id="{D217FB31-47DC-48CA-92AE-AF46E248C1D6}"/>
            </a:ext>
          </a:extLst>
        </xdr:cNvPr>
        <xdr:cNvSpPr/>
      </xdr:nvSpPr>
      <xdr:spPr>
        <a:xfrm>
          <a:off x="3359413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17</a:t>
          </a:r>
        </a:p>
      </xdr:txBody>
    </xdr:sp>
    <xdr:clientData/>
  </xdr:twoCellAnchor>
  <xdr:twoCellAnchor>
    <xdr:from>
      <xdr:col>40</xdr:col>
      <xdr:colOff>44347</xdr:colOff>
      <xdr:row>18</xdr:row>
      <xdr:rowOff>76200</xdr:rowOff>
    </xdr:from>
    <xdr:to>
      <xdr:col>45</xdr:col>
      <xdr:colOff>13537</xdr:colOff>
      <xdr:row>24</xdr:row>
      <xdr:rowOff>19050</xdr:rowOff>
    </xdr:to>
    <xdr:sp macro="" textlink="">
      <xdr:nvSpPr>
        <xdr:cNvPr id="20" name="Tile18">
          <a:extLst>
            <a:ext uri="{FF2B5EF4-FFF2-40B4-BE49-F238E27FC236}">
              <a16:creationId xmlns:a16="http://schemas.microsoft.com/office/drawing/2014/main" id="{669FF326-B33D-46D5-B8E7-8552B3739FF9}"/>
            </a:ext>
          </a:extLst>
        </xdr:cNvPr>
        <xdr:cNvSpPr/>
      </xdr:nvSpPr>
      <xdr:spPr>
        <a:xfrm>
          <a:off x="3854347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18</a:t>
          </a:r>
        </a:p>
      </xdr:txBody>
    </xdr:sp>
    <xdr:clientData/>
  </xdr:twoCellAnchor>
  <xdr:twoCellAnchor>
    <xdr:from>
      <xdr:col>45</xdr:col>
      <xdr:colOff>63030</xdr:colOff>
      <xdr:row>18</xdr:row>
      <xdr:rowOff>76200</xdr:rowOff>
    </xdr:from>
    <xdr:to>
      <xdr:col>50</xdr:col>
      <xdr:colOff>32220</xdr:colOff>
      <xdr:row>24</xdr:row>
      <xdr:rowOff>19050</xdr:rowOff>
    </xdr:to>
    <xdr:sp macro="" textlink="">
      <xdr:nvSpPr>
        <xdr:cNvPr id="21" name="Tile19">
          <a:extLst>
            <a:ext uri="{FF2B5EF4-FFF2-40B4-BE49-F238E27FC236}">
              <a16:creationId xmlns:a16="http://schemas.microsoft.com/office/drawing/2014/main" id="{BA8AE0BA-D5DC-46C3-9E4B-8C2C3EA4122A}"/>
            </a:ext>
          </a:extLst>
        </xdr:cNvPr>
        <xdr:cNvSpPr/>
      </xdr:nvSpPr>
      <xdr:spPr>
        <a:xfrm>
          <a:off x="4349280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19</a:t>
          </a:r>
        </a:p>
      </xdr:txBody>
    </xdr:sp>
    <xdr:clientData/>
  </xdr:twoCellAnchor>
  <xdr:twoCellAnchor>
    <xdr:from>
      <xdr:col>50</xdr:col>
      <xdr:colOff>81714</xdr:colOff>
      <xdr:row>18</xdr:row>
      <xdr:rowOff>76200</xdr:rowOff>
    </xdr:from>
    <xdr:to>
      <xdr:col>55</xdr:col>
      <xdr:colOff>50904</xdr:colOff>
      <xdr:row>24</xdr:row>
      <xdr:rowOff>19050</xdr:rowOff>
    </xdr:to>
    <xdr:sp macro="" textlink="">
      <xdr:nvSpPr>
        <xdr:cNvPr id="22" name="Tile20">
          <a:extLst>
            <a:ext uri="{FF2B5EF4-FFF2-40B4-BE49-F238E27FC236}">
              <a16:creationId xmlns:a16="http://schemas.microsoft.com/office/drawing/2014/main" id="{388B41C4-F1F5-4CEF-AB6A-BB6FF2C9DBFC}"/>
            </a:ext>
          </a:extLst>
        </xdr:cNvPr>
        <xdr:cNvSpPr/>
      </xdr:nvSpPr>
      <xdr:spPr>
        <a:xfrm>
          <a:off x="4844214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20</a:t>
          </a:r>
        </a:p>
      </xdr:txBody>
    </xdr:sp>
    <xdr:clientData/>
  </xdr:twoCellAnchor>
  <xdr:twoCellAnchor>
    <xdr:from>
      <xdr:col>56</xdr:col>
      <xdr:colOff>5147</xdr:colOff>
      <xdr:row>18</xdr:row>
      <xdr:rowOff>76200</xdr:rowOff>
    </xdr:from>
    <xdr:to>
      <xdr:col>60</xdr:col>
      <xdr:colOff>69587</xdr:colOff>
      <xdr:row>24</xdr:row>
      <xdr:rowOff>19050</xdr:rowOff>
    </xdr:to>
    <xdr:sp macro="" textlink="">
      <xdr:nvSpPr>
        <xdr:cNvPr id="23" name="Tile21">
          <a:extLst>
            <a:ext uri="{FF2B5EF4-FFF2-40B4-BE49-F238E27FC236}">
              <a16:creationId xmlns:a16="http://schemas.microsoft.com/office/drawing/2014/main" id="{82601575-2A89-443A-B41F-AD379D8EAEF5}"/>
            </a:ext>
          </a:extLst>
        </xdr:cNvPr>
        <xdr:cNvSpPr/>
      </xdr:nvSpPr>
      <xdr:spPr>
        <a:xfrm>
          <a:off x="5339147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21</a:t>
          </a:r>
        </a:p>
      </xdr:txBody>
    </xdr:sp>
    <xdr:clientData/>
  </xdr:twoCellAnchor>
  <xdr:twoCellAnchor>
    <xdr:from>
      <xdr:col>61</xdr:col>
      <xdr:colOff>23831</xdr:colOff>
      <xdr:row>18</xdr:row>
      <xdr:rowOff>76200</xdr:rowOff>
    </xdr:from>
    <xdr:to>
      <xdr:col>65</xdr:col>
      <xdr:colOff>88271</xdr:colOff>
      <xdr:row>24</xdr:row>
      <xdr:rowOff>19050</xdr:rowOff>
    </xdr:to>
    <xdr:sp macro="" textlink="">
      <xdr:nvSpPr>
        <xdr:cNvPr id="24" name="Tile22">
          <a:extLst>
            <a:ext uri="{FF2B5EF4-FFF2-40B4-BE49-F238E27FC236}">
              <a16:creationId xmlns:a16="http://schemas.microsoft.com/office/drawing/2014/main" id="{46EEB966-219C-491C-B536-24CC822E896E}"/>
            </a:ext>
          </a:extLst>
        </xdr:cNvPr>
        <xdr:cNvSpPr/>
      </xdr:nvSpPr>
      <xdr:spPr>
        <a:xfrm>
          <a:off x="5834081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22</a:t>
          </a:r>
        </a:p>
      </xdr:txBody>
    </xdr:sp>
    <xdr:clientData/>
  </xdr:twoCellAnchor>
  <xdr:twoCellAnchor>
    <xdr:from>
      <xdr:col>66</xdr:col>
      <xdr:colOff>42514</xdr:colOff>
      <xdr:row>18</xdr:row>
      <xdr:rowOff>76200</xdr:rowOff>
    </xdr:from>
    <xdr:to>
      <xdr:col>71</xdr:col>
      <xdr:colOff>11704</xdr:colOff>
      <xdr:row>24</xdr:row>
      <xdr:rowOff>19050</xdr:rowOff>
    </xdr:to>
    <xdr:sp macro="" textlink="">
      <xdr:nvSpPr>
        <xdr:cNvPr id="25" name="Tile23">
          <a:extLst>
            <a:ext uri="{FF2B5EF4-FFF2-40B4-BE49-F238E27FC236}">
              <a16:creationId xmlns:a16="http://schemas.microsoft.com/office/drawing/2014/main" id="{E8947EDD-943B-4016-950F-E702F6F97B90}"/>
            </a:ext>
          </a:extLst>
        </xdr:cNvPr>
        <xdr:cNvSpPr/>
      </xdr:nvSpPr>
      <xdr:spPr>
        <a:xfrm>
          <a:off x="6329014" y="17907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23</a:t>
          </a:r>
        </a:p>
      </xdr:txBody>
    </xdr:sp>
    <xdr:clientData/>
  </xdr:twoCellAnchor>
  <xdr:twoCellAnchor>
    <xdr:from>
      <xdr:col>22</xdr:col>
      <xdr:colOff>26579</xdr:colOff>
      <xdr:row>23</xdr:row>
      <xdr:rowOff>28575</xdr:rowOff>
    </xdr:from>
    <xdr:to>
      <xdr:col>26</xdr:col>
      <xdr:colOff>91019</xdr:colOff>
      <xdr:row>28</xdr:row>
      <xdr:rowOff>66675</xdr:rowOff>
    </xdr:to>
    <xdr:sp macro="" textlink="">
      <xdr:nvSpPr>
        <xdr:cNvPr id="26" name="Tile24">
          <a:extLst>
            <a:ext uri="{FF2B5EF4-FFF2-40B4-BE49-F238E27FC236}">
              <a16:creationId xmlns:a16="http://schemas.microsoft.com/office/drawing/2014/main" id="{BA196720-48BE-443E-A19F-3DCA575CAEB9}"/>
            </a:ext>
          </a:extLst>
        </xdr:cNvPr>
        <xdr:cNvSpPr/>
      </xdr:nvSpPr>
      <xdr:spPr>
        <a:xfrm>
          <a:off x="2122079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24</a:t>
          </a:r>
        </a:p>
      </xdr:txBody>
    </xdr:sp>
    <xdr:clientData/>
  </xdr:twoCellAnchor>
  <xdr:twoCellAnchor>
    <xdr:from>
      <xdr:col>27</xdr:col>
      <xdr:colOff>45263</xdr:colOff>
      <xdr:row>23</xdr:row>
      <xdr:rowOff>28575</xdr:rowOff>
    </xdr:from>
    <xdr:to>
      <xdr:col>32</xdr:col>
      <xdr:colOff>14453</xdr:colOff>
      <xdr:row>28</xdr:row>
      <xdr:rowOff>66675</xdr:rowOff>
    </xdr:to>
    <xdr:sp macro="" textlink="">
      <xdr:nvSpPr>
        <xdr:cNvPr id="27" name="Tile25">
          <a:extLst>
            <a:ext uri="{FF2B5EF4-FFF2-40B4-BE49-F238E27FC236}">
              <a16:creationId xmlns:a16="http://schemas.microsoft.com/office/drawing/2014/main" id="{D6C1D02D-6C62-4283-BA58-754D1F670696}"/>
            </a:ext>
          </a:extLst>
        </xdr:cNvPr>
        <xdr:cNvSpPr/>
      </xdr:nvSpPr>
      <xdr:spPr>
        <a:xfrm>
          <a:off x="2617013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25</a:t>
          </a:r>
        </a:p>
      </xdr:txBody>
    </xdr:sp>
    <xdr:clientData/>
  </xdr:twoCellAnchor>
  <xdr:twoCellAnchor>
    <xdr:from>
      <xdr:col>32</xdr:col>
      <xdr:colOff>63946</xdr:colOff>
      <xdr:row>23</xdr:row>
      <xdr:rowOff>28575</xdr:rowOff>
    </xdr:from>
    <xdr:to>
      <xdr:col>37</xdr:col>
      <xdr:colOff>33136</xdr:colOff>
      <xdr:row>28</xdr:row>
      <xdr:rowOff>66675</xdr:rowOff>
    </xdr:to>
    <xdr:sp macro="" textlink="">
      <xdr:nvSpPr>
        <xdr:cNvPr id="28" name="Tile26">
          <a:extLst>
            <a:ext uri="{FF2B5EF4-FFF2-40B4-BE49-F238E27FC236}">
              <a16:creationId xmlns:a16="http://schemas.microsoft.com/office/drawing/2014/main" id="{DCA129A2-95E2-43C8-A0B3-8411FAA068DE}"/>
            </a:ext>
          </a:extLst>
        </xdr:cNvPr>
        <xdr:cNvSpPr/>
      </xdr:nvSpPr>
      <xdr:spPr>
        <a:xfrm>
          <a:off x="3111946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26</a:t>
          </a:r>
        </a:p>
      </xdr:txBody>
    </xdr:sp>
    <xdr:clientData/>
  </xdr:twoCellAnchor>
  <xdr:twoCellAnchor>
    <xdr:from>
      <xdr:col>37</xdr:col>
      <xdr:colOff>82630</xdr:colOff>
      <xdr:row>23</xdr:row>
      <xdr:rowOff>28575</xdr:rowOff>
    </xdr:from>
    <xdr:to>
      <xdr:col>42</xdr:col>
      <xdr:colOff>51820</xdr:colOff>
      <xdr:row>28</xdr:row>
      <xdr:rowOff>66675</xdr:rowOff>
    </xdr:to>
    <xdr:sp macro="" textlink="">
      <xdr:nvSpPr>
        <xdr:cNvPr id="29" name="Tile27">
          <a:extLst>
            <a:ext uri="{FF2B5EF4-FFF2-40B4-BE49-F238E27FC236}">
              <a16:creationId xmlns:a16="http://schemas.microsoft.com/office/drawing/2014/main" id="{9744EDA7-6949-4912-9E2B-39F480DC9F11}"/>
            </a:ext>
          </a:extLst>
        </xdr:cNvPr>
        <xdr:cNvSpPr/>
      </xdr:nvSpPr>
      <xdr:spPr>
        <a:xfrm>
          <a:off x="3606880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27</a:t>
          </a:r>
        </a:p>
      </xdr:txBody>
    </xdr:sp>
    <xdr:clientData/>
  </xdr:twoCellAnchor>
  <xdr:twoCellAnchor>
    <xdr:from>
      <xdr:col>43</xdr:col>
      <xdr:colOff>6063</xdr:colOff>
      <xdr:row>23</xdr:row>
      <xdr:rowOff>28575</xdr:rowOff>
    </xdr:from>
    <xdr:to>
      <xdr:col>47</xdr:col>
      <xdr:colOff>70503</xdr:colOff>
      <xdr:row>28</xdr:row>
      <xdr:rowOff>66675</xdr:rowOff>
    </xdr:to>
    <xdr:sp macro="" textlink="">
      <xdr:nvSpPr>
        <xdr:cNvPr id="30" name="Tile28">
          <a:extLst>
            <a:ext uri="{FF2B5EF4-FFF2-40B4-BE49-F238E27FC236}">
              <a16:creationId xmlns:a16="http://schemas.microsoft.com/office/drawing/2014/main" id="{28BDCAA8-1D30-4CA7-984A-47911FCE85CF}"/>
            </a:ext>
          </a:extLst>
        </xdr:cNvPr>
        <xdr:cNvSpPr/>
      </xdr:nvSpPr>
      <xdr:spPr>
        <a:xfrm>
          <a:off x="4101813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28</a:t>
          </a:r>
        </a:p>
      </xdr:txBody>
    </xdr:sp>
    <xdr:clientData/>
  </xdr:twoCellAnchor>
  <xdr:twoCellAnchor>
    <xdr:from>
      <xdr:col>48</xdr:col>
      <xdr:colOff>24747</xdr:colOff>
      <xdr:row>23</xdr:row>
      <xdr:rowOff>28575</xdr:rowOff>
    </xdr:from>
    <xdr:to>
      <xdr:col>52</xdr:col>
      <xdr:colOff>89187</xdr:colOff>
      <xdr:row>28</xdr:row>
      <xdr:rowOff>66675</xdr:rowOff>
    </xdr:to>
    <xdr:sp macro="" textlink="">
      <xdr:nvSpPr>
        <xdr:cNvPr id="31" name="Tile29">
          <a:extLst>
            <a:ext uri="{FF2B5EF4-FFF2-40B4-BE49-F238E27FC236}">
              <a16:creationId xmlns:a16="http://schemas.microsoft.com/office/drawing/2014/main" id="{10488527-26DC-462F-8AC9-56E71624CF46}"/>
            </a:ext>
          </a:extLst>
        </xdr:cNvPr>
        <xdr:cNvSpPr/>
      </xdr:nvSpPr>
      <xdr:spPr>
        <a:xfrm>
          <a:off x="4596747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29</a:t>
          </a:r>
        </a:p>
      </xdr:txBody>
    </xdr:sp>
    <xdr:clientData/>
  </xdr:twoCellAnchor>
  <xdr:twoCellAnchor>
    <xdr:from>
      <xdr:col>53</xdr:col>
      <xdr:colOff>43430</xdr:colOff>
      <xdr:row>23</xdr:row>
      <xdr:rowOff>28575</xdr:rowOff>
    </xdr:from>
    <xdr:to>
      <xdr:col>58</xdr:col>
      <xdr:colOff>12620</xdr:colOff>
      <xdr:row>28</xdr:row>
      <xdr:rowOff>66675</xdr:rowOff>
    </xdr:to>
    <xdr:sp macro="" textlink="">
      <xdr:nvSpPr>
        <xdr:cNvPr id="32" name="Tile30">
          <a:extLst>
            <a:ext uri="{FF2B5EF4-FFF2-40B4-BE49-F238E27FC236}">
              <a16:creationId xmlns:a16="http://schemas.microsoft.com/office/drawing/2014/main" id="{9174A569-1EDA-4341-B4A2-23F876CF8FC2}"/>
            </a:ext>
          </a:extLst>
        </xdr:cNvPr>
        <xdr:cNvSpPr/>
      </xdr:nvSpPr>
      <xdr:spPr>
        <a:xfrm>
          <a:off x="5091680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30</a:t>
          </a:r>
        </a:p>
      </xdr:txBody>
    </xdr:sp>
    <xdr:clientData/>
  </xdr:twoCellAnchor>
  <xdr:twoCellAnchor>
    <xdr:from>
      <xdr:col>58</xdr:col>
      <xdr:colOff>62114</xdr:colOff>
      <xdr:row>23</xdr:row>
      <xdr:rowOff>28575</xdr:rowOff>
    </xdr:from>
    <xdr:to>
      <xdr:col>63</xdr:col>
      <xdr:colOff>31304</xdr:colOff>
      <xdr:row>28</xdr:row>
      <xdr:rowOff>66675</xdr:rowOff>
    </xdr:to>
    <xdr:sp macro="" textlink="">
      <xdr:nvSpPr>
        <xdr:cNvPr id="33" name="Tile31">
          <a:extLst>
            <a:ext uri="{FF2B5EF4-FFF2-40B4-BE49-F238E27FC236}">
              <a16:creationId xmlns:a16="http://schemas.microsoft.com/office/drawing/2014/main" id="{71F774B1-5BA2-440B-B3EC-33B30A692476}"/>
            </a:ext>
          </a:extLst>
        </xdr:cNvPr>
        <xdr:cNvSpPr/>
      </xdr:nvSpPr>
      <xdr:spPr>
        <a:xfrm>
          <a:off x="5586614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31</a:t>
          </a:r>
        </a:p>
      </xdr:txBody>
    </xdr:sp>
    <xdr:clientData/>
  </xdr:twoCellAnchor>
  <xdr:twoCellAnchor>
    <xdr:from>
      <xdr:col>63</xdr:col>
      <xdr:colOff>80797</xdr:colOff>
      <xdr:row>23</xdr:row>
      <xdr:rowOff>28575</xdr:rowOff>
    </xdr:from>
    <xdr:to>
      <xdr:col>68</xdr:col>
      <xdr:colOff>49987</xdr:colOff>
      <xdr:row>28</xdr:row>
      <xdr:rowOff>66675</xdr:rowOff>
    </xdr:to>
    <xdr:sp macro="" textlink="">
      <xdr:nvSpPr>
        <xdr:cNvPr id="34" name="Tile32">
          <a:extLst>
            <a:ext uri="{FF2B5EF4-FFF2-40B4-BE49-F238E27FC236}">
              <a16:creationId xmlns:a16="http://schemas.microsoft.com/office/drawing/2014/main" id="{BB4F88B0-CCA7-4802-B2E7-937F0FC03E16}"/>
            </a:ext>
          </a:extLst>
        </xdr:cNvPr>
        <xdr:cNvSpPr/>
      </xdr:nvSpPr>
      <xdr:spPr>
        <a:xfrm>
          <a:off x="6081547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32</a:t>
          </a:r>
        </a:p>
      </xdr:txBody>
    </xdr:sp>
    <xdr:clientData/>
  </xdr:twoCellAnchor>
  <xdr:twoCellAnchor>
    <xdr:from>
      <xdr:col>69</xdr:col>
      <xdr:colOff>4231</xdr:colOff>
      <xdr:row>23</xdr:row>
      <xdr:rowOff>28575</xdr:rowOff>
    </xdr:from>
    <xdr:to>
      <xdr:col>73</xdr:col>
      <xdr:colOff>68671</xdr:colOff>
      <xdr:row>28</xdr:row>
      <xdr:rowOff>66675</xdr:rowOff>
    </xdr:to>
    <xdr:sp macro="" textlink="">
      <xdr:nvSpPr>
        <xdr:cNvPr id="35" name="Tile33">
          <a:extLst>
            <a:ext uri="{FF2B5EF4-FFF2-40B4-BE49-F238E27FC236}">
              <a16:creationId xmlns:a16="http://schemas.microsoft.com/office/drawing/2014/main" id="{50ECCF0C-6E92-4577-945E-6BDA34F8A518}"/>
            </a:ext>
          </a:extLst>
        </xdr:cNvPr>
        <xdr:cNvSpPr/>
      </xdr:nvSpPr>
      <xdr:spPr>
        <a:xfrm>
          <a:off x="6576481" y="22193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33</a:t>
          </a:r>
        </a:p>
      </xdr:txBody>
    </xdr:sp>
    <xdr:clientData/>
  </xdr:twoCellAnchor>
  <xdr:twoCellAnchor>
    <xdr:from>
      <xdr:col>19</xdr:col>
      <xdr:colOff>64862</xdr:colOff>
      <xdr:row>27</xdr:row>
      <xdr:rowOff>76200</xdr:rowOff>
    </xdr:from>
    <xdr:to>
      <xdr:col>24</xdr:col>
      <xdr:colOff>34052</xdr:colOff>
      <xdr:row>33</xdr:row>
      <xdr:rowOff>19050</xdr:rowOff>
    </xdr:to>
    <xdr:sp macro="" textlink="">
      <xdr:nvSpPr>
        <xdr:cNvPr id="36" name="Tile34">
          <a:extLst>
            <a:ext uri="{FF2B5EF4-FFF2-40B4-BE49-F238E27FC236}">
              <a16:creationId xmlns:a16="http://schemas.microsoft.com/office/drawing/2014/main" id="{11B0F96C-3B1F-4938-A73A-367B1E3997F2}"/>
            </a:ext>
          </a:extLst>
        </xdr:cNvPr>
        <xdr:cNvSpPr/>
      </xdr:nvSpPr>
      <xdr:spPr>
        <a:xfrm>
          <a:off x="1874612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34</a:t>
          </a:r>
        </a:p>
      </xdr:txBody>
    </xdr:sp>
    <xdr:clientData/>
  </xdr:twoCellAnchor>
  <xdr:twoCellAnchor>
    <xdr:from>
      <xdr:col>24</xdr:col>
      <xdr:colOff>83546</xdr:colOff>
      <xdr:row>27</xdr:row>
      <xdr:rowOff>76200</xdr:rowOff>
    </xdr:from>
    <xdr:to>
      <xdr:col>29</xdr:col>
      <xdr:colOff>52736</xdr:colOff>
      <xdr:row>33</xdr:row>
      <xdr:rowOff>19050</xdr:rowOff>
    </xdr:to>
    <xdr:sp macro="" textlink="">
      <xdr:nvSpPr>
        <xdr:cNvPr id="37" name="Tile35">
          <a:extLst>
            <a:ext uri="{FF2B5EF4-FFF2-40B4-BE49-F238E27FC236}">
              <a16:creationId xmlns:a16="http://schemas.microsoft.com/office/drawing/2014/main" id="{64D950B6-7587-41F6-9002-0536CA0FEC27}"/>
            </a:ext>
          </a:extLst>
        </xdr:cNvPr>
        <xdr:cNvSpPr/>
      </xdr:nvSpPr>
      <xdr:spPr>
        <a:xfrm>
          <a:off x="2369546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35</a:t>
          </a:r>
        </a:p>
      </xdr:txBody>
    </xdr:sp>
    <xdr:clientData/>
  </xdr:twoCellAnchor>
  <xdr:twoCellAnchor>
    <xdr:from>
      <xdr:col>30</xdr:col>
      <xdr:colOff>6979</xdr:colOff>
      <xdr:row>27</xdr:row>
      <xdr:rowOff>76200</xdr:rowOff>
    </xdr:from>
    <xdr:to>
      <xdr:col>34</xdr:col>
      <xdr:colOff>71419</xdr:colOff>
      <xdr:row>33</xdr:row>
      <xdr:rowOff>19050</xdr:rowOff>
    </xdr:to>
    <xdr:sp macro="" textlink="">
      <xdr:nvSpPr>
        <xdr:cNvPr id="38" name="Tile36">
          <a:extLst>
            <a:ext uri="{FF2B5EF4-FFF2-40B4-BE49-F238E27FC236}">
              <a16:creationId xmlns:a16="http://schemas.microsoft.com/office/drawing/2014/main" id="{183E3951-D6A5-4131-9F04-5E1DC4EBDDF5}"/>
            </a:ext>
          </a:extLst>
        </xdr:cNvPr>
        <xdr:cNvSpPr/>
      </xdr:nvSpPr>
      <xdr:spPr>
        <a:xfrm>
          <a:off x="2864479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36</a:t>
          </a:r>
        </a:p>
      </xdr:txBody>
    </xdr:sp>
    <xdr:clientData/>
  </xdr:twoCellAnchor>
  <xdr:twoCellAnchor>
    <xdr:from>
      <xdr:col>35</xdr:col>
      <xdr:colOff>25663</xdr:colOff>
      <xdr:row>27</xdr:row>
      <xdr:rowOff>76200</xdr:rowOff>
    </xdr:from>
    <xdr:to>
      <xdr:col>39</xdr:col>
      <xdr:colOff>90103</xdr:colOff>
      <xdr:row>33</xdr:row>
      <xdr:rowOff>19050</xdr:rowOff>
    </xdr:to>
    <xdr:sp macro="" textlink="">
      <xdr:nvSpPr>
        <xdr:cNvPr id="39" name="Tile37">
          <a:extLst>
            <a:ext uri="{FF2B5EF4-FFF2-40B4-BE49-F238E27FC236}">
              <a16:creationId xmlns:a16="http://schemas.microsoft.com/office/drawing/2014/main" id="{F1976E51-3AF4-450D-BF7D-D34E5F06862C}"/>
            </a:ext>
          </a:extLst>
        </xdr:cNvPr>
        <xdr:cNvSpPr/>
      </xdr:nvSpPr>
      <xdr:spPr>
        <a:xfrm>
          <a:off x="3359413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37</a:t>
          </a:r>
        </a:p>
      </xdr:txBody>
    </xdr:sp>
    <xdr:clientData/>
  </xdr:twoCellAnchor>
  <xdr:twoCellAnchor>
    <xdr:from>
      <xdr:col>40</xdr:col>
      <xdr:colOff>44347</xdr:colOff>
      <xdr:row>27</xdr:row>
      <xdr:rowOff>76200</xdr:rowOff>
    </xdr:from>
    <xdr:to>
      <xdr:col>45</xdr:col>
      <xdr:colOff>13537</xdr:colOff>
      <xdr:row>33</xdr:row>
      <xdr:rowOff>19050</xdr:rowOff>
    </xdr:to>
    <xdr:sp macro="" textlink="">
      <xdr:nvSpPr>
        <xdr:cNvPr id="40" name="Tile38">
          <a:extLst>
            <a:ext uri="{FF2B5EF4-FFF2-40B4-BE49-F238E27FC236}">
              <a16:creationId xmlns:a16="http://schemas.microsoft.com/office/drawing/2014/main" id="{4EF4D33E-B57A-4AAB-B781-5553DADF90AA}"/>
            </a:ext>
          </a:extLst>
        </xdr:cNvPr>
        <xdr:cNvSpPr/>
      </xdr:nvSpPr>
      <xdr:spPr>
        <a:xfrm>
          <a:off x="3854347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38</a:t>
          </a:r>
        </a:p>
      </xdr:txBody>
    </xdr:sp>
    <xdr:clientData/>
  </xdr:twoCellAnchor>
  <xdr:twoCellAnchor>
    <xdr:from>
      <xdr:col>45</xdr:col>
      <xdr:colOff>63030</xdr:colOff>
      <xdr:row>27</xdr:row>
      <xdr:rowOff>76200</xdr:rowOff>
    </xdr:from>
    <xdr:to>
      <xdr:col>50</xdr:col>
      <xdr:colOff>32220</xdr:colOff>
      <xdr:row>33</xdr:row>
      <xdr:rowOff>19050</xdr:rowOff>
    </xdr:to>
    <xdr:sp macro="" textlink="">
      <xdr:nvSpPr>
        <xdr:cNvPr id="41" name="Tile39">
          <a:extLst>
            <a:ext uri="{FF2B5EF4-FFF2-40B4-BE49-F238E27FC236}">
              <a16:creationId xmlns:a16="http://schemas.microsoft.com/office/drawing/2014/main" id="{44DA2904-0976-44F3-9CD8-6CA5107A4625}"/>
            </a:ext>
          </a:extLst>
        </xdr:cNvPr>
        <xdr:cNvSpPr/>
      </xdr:nvSpPr>
      <xdr:spPr>
        <a:xfrm>
          <a:off x="4349280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39</a:t>
          </a:r>
        </a:p>
      </xdr:txBody>
    </xdr:sp>
    <xdr:clientData/>
  </xdr:twoCellAnchor>
  <xdr:twoCellAnchor>
    <xdr:from>
      <xdr:col>50</xdr:col>
      <xdr:colOff>81714</xdr:colOff>
      <xdr:row>27</xdr:row>
      <xdr:rowOff>76200</xdr:rowOff>
    </xdr:from>
    <xdr:to>
      <xdr:col>55</xdr:col>
      <xdr:colOff>50904</xdr:colOff>
      <xdr:row>33</xdr:row>
      <xdr:rowOff>19050</xdr:rowOff>
    </xdr:to>
    <xdr:sp macro="" textlink="">
      <xdr:nvSpPr>
        <xdr:cNvPr id="42" name="Tile40">
          <a:extLst>
            <a:ext uri="{FF2B5EF4-FFF2-40B4-BE49-F238E27FC236}">
              <a16:creationId xmlns:a16="http://schemas.microsoft.com/office/drawing/2014/main" id="{DE94C53E-80E5-4D22-99FF-BB01EE417EC3}"/>
            </a:ext>
          </a:extLst>
        </xdr:cNvPr>
        <xdr:cNvSpPr/>
      </xdr:nvSpPr>
      <xdr:spPr>
        <a:xfrm>
          <a:off x="4844214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rgbClr val="FF0000"/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40</a:t>
          </a:r>
        </a:p>
      </xdr:txBody>
    </xdr:sp>
    <xdr:clientData/>
  </xdr:twoCellAnchor>
  <xdr:twoCellAnchor>
    <xdr:from>
      <xdr:col>56</xdr:col>
      <xdr:colOff>5147</xdr:colOff>
      <xdr:row>27</xdr:row>
      <xdr:rowOff>76200</xdr:rowOff>
    </xdr:from>
    <xdr:to>
      <xdr:col>60</xdr:col>
      <xdr:colOff>69587</xdr:colOff>
      <xdr:row>33</xdr:row>
      <xdr:rowOff>19050</xdr:rowOff>
    </xdr:to>
    <xdr:sp macro="" textlink="">
      <xdr:nvSpPr>
        <xdr:cNvPr id="43" name="Tile41">
          <a:extLst>
            <a:ext uri="{FF2B5EF4-FFF2-40B4-BE49-F238E27FC236}">
              <a16:creationId xmlns:a16="http://schemas.microsoft.com/office/drawing/2014/main" id="{632C2B52-3C30-481D-A423-E8C5526112E6}"/>
            </a:ext>
          </a:extLst>
        </xdr:cNvPr>
        <xdr:cNvSpPr/>
      </xdr:nvSpPr>
      <xdr:spPr>
        <a:xfrm>
          <a:off x="5339147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41</a:t>
          </a:r>
        </a:p>
      </xdr:txBody>
    </xdr:sp>
    <xdr:clientData/>
  </xdr:twoCellAnchor>
  <xdr:twoCellAnchor>
    <xdr:from>
      <xdr:col>61</xdr:col>
      <xdr:colOff>23831</xdr:colOff>
      <xdr:row>27</xdr:row>
      <xdr:rowOff>76200</xdr:rowOff>
    </xdr:from>
    <xdr:to>
      <xdr:col>65</xdr:col>
      <xdr:colOff>88271</xdr:colOff>
      <xdr:row>33</xdr:row>
      <xdr:rowOff>19050</xdr:rowOff>
    </xdr:to>
    <xdr:sp macro="" textlink="">
      <xdr:nvSpPr>
        <xdr:cNvPr id="44" name="Tile42">
          <a:extLst>
            <a:ext uri="{FF2B5EF4-FFF2-40B4-BE49-F238E27FC236}">
              <a16:creationId xmlns:a16="http://schemas.microsoft.com/office/drawing/2014/main" id="{FBAADD21-3EC4-4E0D-A765-FED7B0C24357}"/>
            </a:ext>
          </a:extLst>
        </xdr:cNvPr>
        <xdr:cNvSpPr/>
      </xdr:nvSpPr>
      <xdr:spPr>
        <a:xfrm>
          <a:off x="5834081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42</a:t>
          </a:r>
        </a:p>
      </xdr:txBody>
    </xdr:sp>
    <xdr:clientData/>
  </xdr:twoCellAnchor>
  <xdr:twoCellAnchor>
    <xdr:from>
      <xdr:col>66</xdr:col>
      <xdr:colOff>42514</xdr:colOff>
      <xdr:row>27</xdr:row>
      <xdr:rowOff>76200</xdr:rowOff>
    </xdr:from>
    <xdr:to>
      <xdr:col>71</xdr:col>
      <xdr:colOff>11704</xdr:colOff>
      <xdr:row>33</xdr:row>
      <xdr:rowOff>19050</xdr:rowOff>
    </xdr:to>
    <xdr:sp macro="" textlink="">
      <xdr:nvSpPr>
        <xdr:cNvPr id="45" name="Tile43">
          <a:extLst>
            <a:ext uri="{FF2B5EF4-FFF2-40B4-BE49-F238E27FC236}">
              <a16:creationId xmlns:a16="http://schemas.microsoft.com/office/drawing/2014/main" id="{F81FDBC6-58BA-41D6-B0B7-1214073C1DC4}"/>
            </a:ext>
          </a:extLst>
        </xdr:cNvPr>
        <xdr:cNvSpPr/>
      </xdr:nvSpPr>
      <xdr:spPr>
        <a:xfrm>
          <a:off x="6329014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43</a:t>
          </a:r>
        </a:p>
      </xdr:txBody>
    </xdr:sp>
    <xdr:clientData/>
  </xdr:twoCellAnchor>
  <xdr:twoCellAnchor>
    <xdr:from>
      <xdr:col>71</xdr:col>
      <xdr:colOff>61198</xdr:colOff>
      <xdr:row>27</xdr:row>
      <xdr:rowOff>76200</xdr:rowOff>
    </xdr:from>
    <xdr:to>
      <xdr:col>76</xdr:col>
      <xdr:colOff>30388</xdr:colOff>
      <xdr:row>33</xdr:row>
      <xdr:rowOff>19050</xdr:rowOff>
    </xdr:to>
    <xdr:sp macro="" textlink="">
      <xdr:nvSpPr>
        <xdr:cNvPr id="46" name="Tile44">
          <a:extLst>
            <a:ext uri="{FF2B5EF4-FFF2-40B4-BE49-F238E27FC236}">
              <a16:creationId xmlns:a16="http://schemas.microsoft.com/office/drawing/2014/main" id="{C4E2D37E-9567-480A-8B80-57536BA0C309}"/>
            </a:ext>
          </a:extLst>
        </xdr:cNvPr>
        <xdr:cNvSpPr/>
      </xdr:nvSpPr>
      <xdr:spPr>
        <a:xfrm>
          <a:off x="6823948" y="26479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44</a:t>
          </a:r>
        </a:p>
      </xdr:txBody>
    </xdr:sp>
    <xdr:clientData/>
  </xdr:twoCellAnchor>
  <xdr:twoCellAnchor>
    <xdr:from>
      <xdr:col>22</xdr:col>
      <xdr:colOff>26579</xdr:colOff>
      <xdr:row>32</xdr:row>
      <xdr:rowOff>28575</xdr:rowOff>
    </xdr:from>
    <xdr:to>
      <xdr:col>26</xdr:col>
      <xdr:colOff>91019</xdr:colOff>
      <xdr:row>37</xdr:row>
      <xdr:rowOff>66675</xdr:rowOff>
    </xdr:to>
    <xdr:sp macro="" textlink="">
      <xdr:nvSpPr>
        <xdr:cNvPr id="47" name="Tile45">
          <a:extLst>
            <a:ext uri="{FF2B5EF4-FFF2-40B4-BE49-F238E27FC236}">
              <a16:creationId xmlns:a16="http://schemas.microsoft.com/office/drawing/2014/main" id="{C1CFE032-36E1-41FE-8D08-5EEAECC1E45B}"/>
            </a:ext>
          </a:extLst>
        </xdr:cNvPr>
        <xdr:cNvSpPr/>
      </xdr:nvSpPr>
      <xdr:spPr>
        <a:xfrm>
          <a:off x="2122079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45</a:t>
          </a:r>
        </a:p>
      </xdr:txBody>
    </xdr:sp>
    <xdr:clientData/>
  </xdr:twoCellAnchor>
  <xdr:twoCellAnchor>
    <xdr:from>
      <xdr:col>27</xdr:col>
      <xdr:colOff>45263</xdr:colOff>
      <xdr:row>32</xdr:row>
      <xdr:rowOff>28575</xdr:rowOff>
    </xdr:from>
    <xdr:to>
      <xdr:col>32</xdr:col>
      <xdr:colOff>14453</xdr:colOff>
      <xdr:row>37</xdr:row>
      <xdr:rowOff>66675</xdr:rowOff>
    </xdr:to>
    <xdr:sp macro="" textlink="">
      <xdr:nvSpPr>
        <xdr:cNvPr id="48" name="Tile46">
          <a:extLst>
            <a:ext uri="{FF2B5EF4-FFF2-40B4-BE49-F238E27FC236}">
              <a16:creationId xmlns:a16="http://schemas.microsoft.com/office/drawing/2014/main" id="{CE3B638B-C944-4505-B28C-3A505E8A9AF1}"/>
            </a:ext>
          </a:extLst>
        </xdr:cNvPr>
        <xdr:cNvSpPr/>
      </xdr:nvSpPr>
      <xdr:spPr>
        <a:xfrm>
          <a:off x="2617013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46</a:t>
          </a:r>
        </a:p>
      </xdr:txBody>
    </xdr:sp>
    <xdr:clientData/>
  </xdr:twoCellAnchor>
  <xdr:twoCellAnchor>
    <xdr:from>
      <xdr:col>32</xdr:col>
      <xdr:colOff>63946</xdr:colOff>
      <xdr:row>32</xdr:row>
      <xdr:rowOff>28575</xdr:rowOff>
    </xdr:from>
    <xdr:to>
      <xdr:col>37</xdr:col>
      <xdr:colOff>33136</xdr:colOff>
      <xdr:row>37</xdr:row>
      <xdr:rowOff>66675</xdr:rowOff>
    </xdr:to>
    <xdr:sp macro="" textlink="">
      <xdr:nvSpPr>
        <xdr:cNvPr id="49" name="Tile47">
          <a:extLst>
            <a:ext uri="{FF2B5EF4-FFF2-40B4-BE49-F238E27FC236}">
              <a16:creationId xmlns:a16="http://schemas.microsoft.com/office/drawing/2014/main" id="{219BC416-512F-4879-B4F2-1BC2D3DFD7AB}"/>
            </a:ext>
          </a:extLst>
        </xdr:cNvPr>
        <xdr:cNvSpPr/>
      </xdr:nvSpPr>
      <xdr:spPr>
        <a:xfrm>
          <a:off x="3111946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47</a:t>
          </a:r>
        </a:p>
      </xdr:txBody>
    </xdr:sp>
    <xdr:clientData/>
  </xdr:twoCellAnchor>
  <xdr:twoCellAnchor>
    <xdr:from>
      <xdr:col>37</xdr:col>
      <xdr:colOff>82630</xdr:colOff>
      <xdr:row>32</xdr:row>
      <xdr:rowOff>28575</xdr:rowOff>
    </xdr:from>
    <xdr:to>
      <xdr:col>42</xdr:col>
      <xdr:colOff>51820</xdr:colOff>
      <xdr:row>37</xdr:row>
      <xdr:rowOff>66675</xdr:rowOff>
    </xdr:to>
    <xdr:sp macro="" textlink="">
      <xdr:nvSpPr>
        <xdr:cNvPr id="50" name="Tile48">
          <a:extLst>
            <a:ext uri="{FF2B5EF4-FFF2-40B4-BE49-F238E27FC236}">
              <a16:creationId xmlns:a16="http://schemas.microsoft.com/office/drawing/2014/main" id="{3C817A5E-8058-491F-A3FC-C5EB6F7B1E93}"/>
            </a:ext>
          </a:extLst>
        </xdr:cNvPr>
        <xdr:cNvSpPr/>
      </xdr:nvSpPr>
      <xdr:spPr>
        <a:xfrm>
          <a:off x="3606880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48</a:t>
          </a:r>
        </a:p>
      </xdr:txBody>
    </xdr:sp>
    <xdr:clientData/>
  </xdr:twoCellAnchor>
  <xdr:twoCellAnchor>
    <xdr:from>
      <xdr:col>43</xdr:col>
      <xdr:colOff>6063</xdr:colOff>
      <xdr:row>32</xdr:row>
      <xdr:rowOff>28575</xdr:rowOff>
    </xdr:from>
    <xdr:to>
      <xdr:col>47</xdr:col>
      <xdr:colOff>70503</xdr:colOff>
      <xdr:row>37</xdr:row>
      <xdr:rowOff>66675</xdr:rowOff>
    </xdr:to>
    <xdr:sp macro="" textlink="">
      <xdr:nvSpPr>
        <xdr:cNvPr id="51" name="Tile49">
          <a:extLst>
            <a:ext uri="{FF2B5EF4-FFF2-40B4-BE49-F238E27FC236}">
              <a16:creationId xmlns:a16="http://schemas.microsoft.com/office/drawing/2014/main" id="{3C13EE01-6401-4198-BB72-96F575C5BAF8}"/>
            </a:ext>
          </a:extLst>
        </xdr:cNvPr>
        <xdr:cNvSpPr/>
      </xdr:nvSpPr>
      <xdr:spPr>
        <a:xfrm>
          <a:off x="4101813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49</a:t>
          </a:r>
        </a:p>
      </xdr:txBody>
    </xdr:sp>
    <xdr:clientData/>
  </xdr:twoCellAnchor>
  <xdr:twoCellAnchor>
    <xdr:from>
      <xdr:col>48</xdr:col>
      <xdr:colOff>24747</xdr:colOff>
      <xdr:row>32</xdr:row>
      <xdr:rowOff>28575</xdr:rowOff>
    </xdr:from>
    <xdr:to>
      <xdr:col>52</xdr:col>
      <xdr:colOff>89187</xdr:colOff>
      <xdr:row>37</xdr:row>
      <xdr:rowOff>66675</xdr:rowOff>
    </xdr:to>
    <xdr:sp macro="" textlink="">
      <xdr:nvSpPr>
        <xdr:cNvPr id="52" name="Tile50">
          <a:extLst>
            <a:ext uri="{FF2B5EF4-FFF2-40B4-BE49-F238E27FC236}">
              <a16:creationId xmlns:a16="http://schemas.microsoft.com/office/drawing/2014/main" id="{74770CD4-545B-4631-9F5A-8D993F38A2EF}"/>
            </a:ext>
          </a:extLst>
        </xdr:cNvPr>
        <xdr:cNvSpPr/>
      </xdr:nvSpPr>
      <xdr:spPr>
        <a:xfrm>
          <a:off x="4596747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50</a:t>
          </a:r>
        </a:p>
      </xdr:txBody>
    </xdr:sp>
    <xdr:clientData/>
  </xdr:twoCellAnchor>
  <xdr:twoCellAnchor>
    <xdr:from>
      <xdr:col>53</xdr:col>
      <xdr:colOff>43430</xdr:colOff>
      <xdr:row>32</xdr:row>
      <xdr:rowOff>28575</xdr:rowOff>
    </xdr:from>
    <xdr:to>
      <xdr:col>58</xdr:col>
      <xdr:colOff>12620</xdr:colOff>
      <xdr:row>37</xdr:row>
      <xdr:rowOff>66675</xdr:rowOff>
    </xdr:to>
    <xdr:sp macro="" textlink="">
      <xdr:nvSpPr>
        <xdr:cNvPr id="53" name="Tile51">
          <a:extLst>
            <a:ext uri="{FF2B5EF4-FFF2-40B4-BE49-F238E27FC236}">
              <a16:creationId xmlns:a16="http://schemas.microsoft.com/office/drawing/2014/main" id="{0D3C7CC0-B0AA-4E01-86A2-288CFCB07403}"/>
            </a:ext>
          </a:extLst>
        </xdr:cNvPr>
        <xdr:cNvSpPr/>
      </xdr:nvSpPr>
      <xdr:spPr>
        <a:xfrm>
          <a:off x="5091680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51</a:t>
          </a:r>
        </a:p>
      </xdr:txBody>
    </xdr:sp>
    <xdr:clientData/>
  </xdr:twoCellAnchor>
  <xdr:twoCellAnchor>
    <xdr:from>
      <xdr:col>58</xdr:col>
      <xdr:colOff>62114</xdr:colOff>
      <xdr:row>32</xdr:row>
      <xdr:rowOff>28575</xdr:rowOff>
    </xdr:from>
    <xdr:to>
      <xdr:col>63</xdr:col>
      <xdr:colOff>31304</xdr:colOff>
      <xdr:row>37</xdr:row>
      <xdr:rowOff>66675</xdr:rowOff>
    </xdr:to>
    <xdr:sp macro="" textlink="">
      <xdr:nvSpPr>
        <xdr:cNvPr id="54" name="Tile52">
          <a:extLst>
            <a:ext uri="{FF2B5EF4-FFF2-40B4-BE49-F238E27FC236}">
              <a16:creationId xmlns:a16="http://schemas.microsoft.com/office/drawing/2014/main" id="{B8AE1F7A-D3C4-4025-A3CE-831E3F3A7EBD}"/>
            </a:ext>
          </a:extLst>
        </xdr:cNvPr>
        <xdr:cNvSpPr/>
      </xdr:nvSpPr>
      <xdr:spPr>
        <a:xfrm>
          <a:off x="5586614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52</a:t>
          </a:r>
        </a:p>
      </xdr:txBody>
    </xdr:sp>
    <xdr:clientData/>
  </xdr:twoCellAnchor>
  <xdr:twoCellAnchor>
    <xdr:from>
      <xdr:col>63</xdr:col>
      <xdr:colOff>80797</xdr:colOff>
      <xdr:row>32</xdr:row>
      <xdr:rowOff>28575</xdr:rowOff>
    </xdr:from>
    <xdr:to>
      <xdr:col>68</xdr:col>
      <xdr:colOff>49987</xdr:colOff>
      <xdr:row>37</xdr:row>
      <xdr:rowOff>66675</xdr:rowOff>
    </xdr:to>
    <xdr:sp macro="" textlink="">
      <xdr:nvSpPr>
        <xdr:cNvPr id="55" name="Tile53">
          <a:extLst>
            <a:ext uri="{FF2B5EF4-FFF2-40B4-BE49-F238E27FC236}">
              <a16:creationId xmlns:a16="http://schemas.microsoft.com/office/drawing/2014/main" id="{6E2B3E7B-9DD2-4435-ABCD-0FC9429CD33E}"/>
            </a:ext>
          </a:extLst>
        </xdr:cNvPr>
        <xdr:cNvSpPr/>
      </xdr:nvSpPr>
      <xdr:spPr>
        <a:xfrm>
          <a:off x="6081547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53</a:t>
          </a:r>
        </a:p>
      </xdr:txBody>
    </xdr:sp>
    <xdr:clientData/>
  </xdr:twoCellAnchor>
  <xdr:twoCellAnchor>
    <xdr:from>
      <xdr:col>69</xdr:col>
      <xdr:colOff>4231</xdr:colOff>
      <xdr:row>32</xdr:row>
      <xdr:rowOff>28575</xdr:rowOff>
    </xdr:from>
    <xdr:to>
      <xdr:col>73</xdr:col>
      <xdr:colOff>68671</xdr:colOff>
      <xdr:row>37</xdr:row>
      <xdr:rowOff>66675</xdr:rowOff>
    </xdr:to>
    <xdr:sp macro="" textlink="">
      <xdr:nvSpPr>
        <xdr:cNvPr id="56" name="Tile54">
          <a:extLst>
            <a:ext uri="{FF2B5EF4-FFF2-40B4-BE49-F238E27FC236}">
              <a16:creationId xmlns:a16="http://schemas.microsoft.com/office/drawing/2014/main" id="{BAB1AD85-365A-4931-B1FA-CB5DF21196B7}"/>
            </a:ext>
          </a:extLst>
        </xdr:cNvPr>
        <xdr:cNvSpPr/>
      </xdr:nvSpPr>
      <xdr:spPr>
        <a:xfrm>
          <a:off x="6576481" y="307657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54</a:t>
          </a:r>
        </a:p>
      </xdr:txBody>
    </xdr:sp>
    <xdr:clientData/>
  </xdr:twoCellAnchor>
  <xdr:twoCellAnchor>
    <xdr:from>
      <xdr:col>24</xdr:col>
      <xdr:colOff>83546</xdr:colOff>
      <xdr:row>36</xdr:row>
      <xdr:rowOff>76200</xdr:rowOff>
    </xdr:from>
    <xdr:to>
      <xdr:col>29</xdr:col>
      <xdr:colOff>52736</xdr:colOff>
      <xdr:row>42</xdr:row>
      <xdr:rowOff>19050</xdr:rowOff>
    </xdr:to>
    <xdr:sp macro="" textlink="">
      <xdr:nvSpPr>
        <xdr:cNvPr id="57" name="Tile55">
          <a:extLst>
            <a:ext uri="{FF2B5EF4-FFF2-40B4-BE49-F238E27FC236}">
              <a16:creationId xmlns:a16="http://schemas.microsoft.com/office/drawing/2014/main" id="{9BD333F5-8520-40B9-96E6-0FE135F9E887}"/>
            </a:ext>
          </a:extLst>
        </xdr:cNvPr>
        <xdr:cNvSpPr/>
      </xdr:nvSpPr>
      <xdr:spPr>
        <a:xfrm>
          <a:off x="2369546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55</a:t>
          </a:r>
        </a:p>
      </xdr:txBody>
    </xdr:sp>
    <xdr:clientData/>
  </xdr:twoCellAnchor>
  <xdr:twoCellAnchor>
    <xdr:from>
      <xdr:col>30</xdr:col>
      <xdr:colOff>6979</xdr:colOff>
      <xdr:row>36</xdr:row>
      <xdr:rowOff>76200</xdr:rowOff>
    </xdr:from>
    <xdr:to>
      <xdr:col>34</xdr:col>
      <xdr:colOff>71419</xdr:colOff>
      <xdr:row>42</xdr:row>
      <xdr:rowOff>19050</xdr:rowOff>
    </xdr:to>
    <xdr:sp macro="" textlink="">
      <xdr:nvSpPr>
        <xdr:cNvPr id="58" name="Tile56">
          <a:extLst>
            <a:ext uri="{FF2B5EF4-FFF2-40B4-BE49-F238E27FC236}">
              <a16:creationId xmlns:a16="http://schemas.microsoft.com/office/drawing/2014/main" id="{6A96ABB3-8E1F-402F-9D34-528D1217FFAB}"/>
            </a:ext>
          </a:extLst>
        </xdr:cNvPr>
        <xdr:cNvSpPr/>
      </xdr:nvSpPr>
      <xdr:spPr>
        <a:xfrm>
          <a:off x="2864479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rgbClr val="FF0000"/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56</a:t>
          </a:r>
        </a:p>
      </xdr:txBody>
    </xdr:sp>
    <xdr:clientData/>
  </xdr:twoCellAnchor>
  <xdr:twoCellAnchor>
    <xdr:from>
      <xdr:col>35</xdr:col>
      <xdr:colOff>25663</xdr:colOff>
      <xdr:row>36</xdr:row>
      <xdr:rowOff>76200</xdr:rowOff>
    </xdr:from>
    <xdr:to>
      <xdr:col>39</xdr:col>
      <xdr:colOff>90103</xdr:colOff>
      <xdr:row>42</xdr:row>
      <xdr:rowOff>19050</xdr:rowOff>
    </xdr:to>
    <xdr:sp macro="" textlink="">
      <xdr:nvSpPr>
        <xdr:cNvPr id="59" name="Tile57">
          <a:extLst>
            <a:ext uri="{FF2B5EF4-FFF2-40B4-BE49-F238E27FC236}">
              <a16:creationId xmlns:a16="http://schemas.microsoft.com/office/drawing/2014/main" id="{15B4CBD8-56D8-474C-AB9B-7A49279576A1}"/>
            </a:ext>
          </a:extLst>
        </xdr:cNvPr>
        <xdr:cNvSpPr/>
      </xdr:nvSpPr>
      <xdr:spPr>
        <a:xfrm>
          <a:off x="3359413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57</a:t>
          </a:r>
        </a:p>
      </xdr:txBody>
    </xdr:sp>
    <xdr:clientData/>
  </xdr:twoCellAnchor>
  <xdr:twoCellAnchor>
    <xdr:from>
      <xdr:col>40</xdr:col>
      <xdr:colOff>44347</xdr:colOff>
      <xdr:row>36</xdr:row>
      <xdr:rowOff>76200</xdr:rowOff>
    </xdr:from>
    <xdr:to>
      <xdr:col>45</xdr:col>
      <xdr:colOff>13537</xdr:colOff>
      <xdr:row>42</xdr:row>
      <xdr:rowOff>19050</xdr:rowOff>
    </xdr:to>
    <xdr:sp macro="" textlink="">
      <xdr:nvSpPr>
        <xdr:cNvPr id="60" name="Tile58">
          <a:extLst>
            <a:ext uri="{FF2B5EF4-FFF2-40B4-BE49-F238E27FC236}">
              <a16:creationId xmlns:a16="http://schemas.microsoft.com/office/drawing/2014/main" id="{2065C232-C34C-4BD7-84A3-E3343F54155C}"/>
            </a:ext>
          </a:extLst>
        </xdr:cNvPr>
        <xdr:cNvSpPr/>
      </xdr:nvSpPr>
      <xdr:spPr>
        <a:xfrm>
          <a:off x="3854347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58</a:t>
          </a:r>
        </a:p>
      </xdr:txBody>
    </xdr:sp>
    <xdr:clientData/>
  </xdr:twoCellAnchor>
  <xdr:twoCellAnchor>
    <xdr:from>
      <xdr:col>45</xdr:col>
      <xdr:colOff>63030</xdr:colOff>
      <xdr:row>36</xdr:row>
      <xdr:rowOff>76200</xdr:rowOff>
    </xdr:from>
    <xdr:to>
      <xdr:col>50</xdr:col>
      <xdr:colOff>32220</xdr:colOff>
      <xdr:row>42</xdr:row>
      <xdr:rowOff>19050</xdr:rowOff>
    </xdr:to>
    <xdr:sp macro="" textlink="">
      <xdr:nvSpPr>
        <xdr:cNvPr id="61" name="Tile59">
          <a:extLst>
            <a:ext uri="{FF2B5EF4-FFF2-40B4-BE49-F238E27FC236}">
              <a16:creationId xmlns:a16="http://schemas.microsoft.com/office/drawing/2014/main" id="{61289C21-2697-430F-856F-02CF74AA17FB}"/>
            </a:ext>
          </a:extLst>
        </xdr:cNvPr>
        <xdr:cNvSpPr/>
      </xdr:nvSpPr>
      <xdr:spPr>
        <a:xfrm>
          <a:off x="4349280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59</a:t>
          </a:r>
        </a:p>
      </xdr:txBody>
    </xdr:sp>
    <xdr:clientData/>
  </xdr:twoCellAnchor>
  <xdr:twoCellAnchor>
    <xdr:from>
      <xdr:col>50</xdr:col>
      <xdr:colOff>81714</xdr:colOff>
      <xdr:row>36</xdr:row>
      <xdr:rowOff>76200</xdr:rowOff>
    </xdr:from>
    <xdr:to>
      <xdr:col>55</xdr:col>
      <xdr:colOff>50904</xdr:colOff>
      <xdr:row>42</xdr:row>
      <xdr:rowOff>19050</xdr:rowOff>
    </xdr:to>
    <xdr:sp macro="" textlink="">
      <xdr:nvSpPr>
        <xdr:cNvPr id="62" name="Tile60">
          <a:extLst>
            <a:ext uri="{FF2B5EF4-FFF2-40B4-BE49-F238E27FC236}">
              <a16:creationId xmlns:a16="http://schemas.microsoft.com/office/drawing/2014/main" id="{2300009A-CCFC-42B4-A7D1-C94500860ECE}"/>
            </a:ext>
          </a:extLst>
        </xdr:cNvPr>
        <xdr:cNvSpPr/>
      </xdr:nvSpPr>
      <xdr:spPr>
        <a:xfrm>
          <a:off x="4844214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60</a:t>
          </a:r>
        </a:p>
      </xdr:txBody>
    </xdr:sp>
    <xdr:clientData/>
  </xdr:twoCellAnchor>
  <xdr:twoCellAnchor>
    <xdr:from>
      <xdr:col>56</xdr:col>
      <xdr:colOff>5147</xdr:colOff>
      <xdr:row>36</xdr:row>
      <xdr:rowOff>76200</xdr:rowOff>
    </xdr:from>
    <xdr:to>
      <xdr:col>60</xdr:col>
      <xdr:colOff>69587</xdr:colOff>
      <xdr:row>42</xdr:row>
      <xdr:rowOff>19050</xdr:rowOff>
    </xdr:to>
    <xdr:sp macro="" textlink="">
      <xdr:nvSpPr>
        <xdr:cNvPr id="63" name="Tile61">
          <a:extLst>
            <a:ext uri="{FF2B5EF4-FFF2-40B4-BE49-F238E27FC236}">
              <a16:creationId xmlns:a16="http://schemas.microsoft.com/office/drawing/2014/main" id="{C9346CA8-BCA5-4C31-BB87-6093FDD604B2}"/>
            </a:ext>
          </a:extLst>
        </xdr:cNvPr>
        <xdr:cNvSpPr/>
      </xdr:nvSpPr>
      <xdr:spPr>
        <a:xfrm>
          <a:off x="5339147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61</a:t>
          </a:r>
        </a:p>
      </xdr:txBody>
    </xdr:sp>
    <xdr:clientData/>
  </xdr:twoCellAnchor>
  <xdr:twoCellAnchor>
    <xdr:from>
      <xdr:col>61</xdr:col>
      <xdr:colOff>23831</xdr:colOff>
      <xdr:row>36</xdr:row>
      <xdr:rowOff>76200</xdr:rowOff>
    </xdr:from>
    <xdr:to>
      <xdr:col>65</xdr:col>
      <xdr:colOff>88271</xdr:colOff>
      <xdr:row>42</xdr:row>
      <xdr:rowOff>19050</xdr:rowOff>
    </xdr:to>
    <xdr:sp macro="" textlink="">
      <xdr:nvSpPr>
        <xdr:cNvPr id="64" name="Tile62">
          <a:extLst>
            <a:ext uri="{FF2B5EF4-FFF2-40B4-BE49-F238E27FC236}">
              <a16:creationId xmlns:a16="http://schemas.microsoft.com/office/drawing/2014/main" id="{0692DE47-31D0-4B32-BB0C-E208ADE5B9DC}"/>
            </a:ext>
          </a:extLst>
        </xdr:cNvPr>
        <xdr:cNvSpPr/>
      </xdr:nvSpPr>
      <xdr:spPr>
        <a:xfrm>
          <a:off x="5834081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62</a:t>
          </a:r>
        </a:p>
      </xdr:txBody>
    </xdr:sp>
    <xdr:clientData/>
  </xdr:twoCellAnchor>
  <xdr:twoCellAnchor>
    <xdr:from>
      <xdr:col>66</xdr:col>
      <xdr:colOff>42514</xdr:colOff>
      <xdr:row>36</xdr:row>
      <xdr:rowOff>76200</xdr:rowOff>
    </xdr:from>
    <xdr:to>
      <xdr:col>71</xdr:col>
      <xdr:colOff>11704</xdr:colOff>
      <xdr:row>42</xdr:row>
      <xdr:rowOff>19050</xdr:rowOff>
    </xdr:to>
    <xdr:sp macro="" textlink="">
      <xdr:nvSpPr>
        <xdr:cNvPr id="65" name="Tile63">
          <a:extLst>
            <a:ext uri="{FF2B5EF4-FFF2-40B4-BE49-F238E27FC236}">
              <a16:creationId xmlns:a16="http://schemas.microsoft.com/office/drawing/2014/main" id="{E787E2EC-6F6D-4BD5-A7B9-61AB48DAA4A1}"/>
            </a:ext>
          </a:extLst>
        </xdr:cNvPr>
        <xdr:cNvSpPr/>
      </xdr:nvSpPr>
      <xdr:spPr>
        <a:xfrm>
          <a:off x="6329014" y="350520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63</a:t>
          </a:r>
        </a:p>
      </xdr:txBody>
    </xdr:sp>
    <xdr:clientData/>
  </xdr:twoCellAnchor>
  <xdr:twoCellAnchor>
    <xdr:from>
      <xdr:col>27</xdr:col>
      <xdr:colOff>45263</xdr:colOff>
      <xdr:row>41</xdr:row>
      <xdr:rowOff>28575</xdr:rowOff>
    </xdr:from>
    <xdr:to>
      <xdr:col>32</xdr:col>
      <xdr:colOff>14453</xdr:colOff>
      <xdr:row>46</xdr:row>
      <xdr:rowOff>66675</xdr:rowOff>
    </xdr:to>
    <xdr:sp macro="" textlink="">
      <xdr:nvSpPr>
        <xdr:cNvPr id="66" name="Tile64">
          <a:extLst>
            <a:ext uri="{FF2B5EF4-FFF2-40B4-BE49-F238E27FC236}">
              <a16:creationId xmlns:a16="http://schemas.microsoft.com/office/drawing/2014/main" id="{67E56A99-6087-4B64-9018-9EB616E4257A}"/>
            </a:ext>
          </a:extLst>
        </xdr:cNvPr>
        <xdr:cNvSpPr/>
      </xdr:nvSpPr>
      <xdr:spPr>
        <a:xfrm>
          <a:off x="2617013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64</a:t>
          </a:r>
        </a:p>
      </xdr:txBody>
    </xdr:sp>
    <xdr:clientData/>
  </xdr:twoCellAnchor>
  <xdr:twoCellAnchor>
    <xdr:from>
      <xdr:col>32</xdr:col>
      <xdr:colOff>63946</xdr:colOff>
      <xdr:row>41</xdr:row>
      <xdr:rowOff>28575</xdr:rowOff>
    </xdr:from>
    <xdr:to>
      <xdr:col>37</xdr:col>
      <xdr:colOff>33136</xdr:colOff>
      <xdr:row>46</xdr:row>
      <xdr:rowOff>66675</xdr:rowOff>
    </xdr:to>
    <xdr:sp macro="" textlink="">
      <xdr:nvSpPr>
        <xdr:cNvPr id="67" name="Tile65">
          <a:extLst>
            <a:ext uri="{FF2B5EF4-FFF2-40B4-BE49-F238E27FC236}">
              <a16:creationId xmlns:a16="http://schemas.microsoft.com/office/drawing/2014/main" id="{73C271D2-4466-4DD4-AE04-9683F3E3381E}"/>
            </a:ext>
          </a:extLst>
        </xdr:cNvPr>
        <xdr:cNvSpPr/>
      </xdr:nvSpPr>
      <xdr:spPr>
        <a:xfrm>
          <a:off x="3111946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65</a:t>
          </a:r>
        </a:p>
      </xdr:txBody>
    </xdr:sp>
    <xdr:clientData/>
  </xdr:twoCellAnchor>
  <xdr:twoCellAnchor>
    <xdr:from>
      <xdr:col>37</xdr:col>
      <xdr:colOff>82630</xdr:colOff>
      <xdr:row>41</xdr:row>
      <xdr:rowOff>28575</xdr:rowOff>
    </xdr:from>
    <xdr:to>
      <xdr:col>42</xdr:col>
      <xdr:colOff>51820</xdr:colOff>
      <xdr:row>46</xdr:row>
      <xdr:rowOff>66675</xdr:rowOff>
    </xdr:to>
    <xdr:sp macro="" textlink="">
      <xdr:nvSpPr>
        <xdr:cNvPr id="68" name="Tile66">
          <a:extLst>
            <a:ext uri="{FF2B5EF4-FFF2-40B4-BE49-F238E27FC236}">
              <a16:creationId xmlns:a16="http://schemas.microsoft.com/office/drawing/2014/main" id="{584C4904-4170-44E1-A8DE-4CF4873825A0}"/>
            </a:ext>
          </a:extLst>
        </xdr:cNvPr>
        <xdr:cNvSpPr/>
      </xdr:nvSpPr>
      <xdr:spPr>
        <a:xfrm>
          <a:off x="3606880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solidFill>
          <a:schemeClr val="bg1">
            <a:lumMod val="85000"/>
          </a:schemeClr>
        </a:solidFill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66</a:t>
          </a:r>
        </a:p>
      </xdr:txBody>
    </xdr:sp>
    <xdr:clientData/>
  </xdr:twoCellAnchor>
  <xdr:twoCellAnchor>
    <xdr:from>
      <xdr:col>43</xdr:col>
      <xdr:colOff>6063</xdr:colOff>
      <xdr:row>41</xdr:row>
      <xdr:rowOff>28575</xdr:rowOff>
    </xdr:from>
    <xdr:to>
      <xdr:col>47</xdr:col>
      <xdr:colOff>70503</xdr:colOff>
      <xdr:row>46</xdr:row>
      <xdr:rowOff>66675</xdr:rowOff>
    </xdr:to>
    <xdr:sp macro="" textlink="">
      <xdr:nvSpPr>
        <xdr:cNvPr id="69" name="Tile67">
          <a:extLst>
            <a:ext uri="{FF2B5EF4-FFF2-40B4-BE49-F238E27FC236}">
              <a16:creationId xmlns:a16="http://schemas.microsoft.com/office/drawing/2014/main" id="{3E791C70-EA33-4D9D-AB08-C0854E2895EB}"/>
            </a:ext>
          </a:extLst>
        </xdr:cNvPr>
        <xdr:cNvSpPr/>
      </xdr:nvSpPr>
      <xdr:spPr>
        <a:xfrm>
          <a:off x="4101813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67</a:t>
          </a:r>
        </a:p>
      </xdr:txBody>
    </xdr:sp>
    <xdr:clientData/>
  </xdr:twoCellAnchor>
  <xdr:twoCellAnchor>
    <xdr:from>
      <xdr:col>48</xdr:col>
      <xdr:colOff>24747</xdr:colOff>
      <xdr:row>41</xdr:row>
      <xdr:rowOff>28575</xdr:rowOff>
    </xdr:from>
    <xdr:to>
      <xdr:col>52</xdr:col>
      <xdr:colOff>89187</xdr:colOff>
      <xdr:row>46</xdr:row>
      <xdr:rowOff>66675</xdr:rowOff>
    </xdr:to>
    <xdr:sp macro="" textlink="">
      <xdr:nvSpPr>
        <xdr:cNvPr id="70" name="Tile68">
          <a:extLst>
            <a:ext uri="{FF2B5EF4-FFF2-40B4-BE49-F238E27FC236}">
              <a16:creationId xmlns:a16="http://schemas.microsoft.com/office/drawing/2014/main" id="{CE13E978-2BCB-4076-A085-BFCF994CB0A7}"/>
            </a:ext>
          </a:extLst>
        </xdr:cNvPr>
        <xdr:cNvSpPr/>
      </xdr:nvSpPr>
      <xdr:spPr>
        <a:xfrm>
          <a:off x="4596747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68</a:t>
          </a:r>
        </a:p>
      </xdr:txBody>
    </xdr:sp>
    <xdr:clientData/>
  </xdr:twoCellAnchor>
  <xdr:twoCellAnchor>
    <xdr:from>
      <xdr:col>53</xdr:col>
      <xdr:colOff>43430</xdr:colOff>
      <xdr:row>41</xdr:row>
      <xdr:rowOff>28575</xdr:rowOff>
    </xdr:from>
    <xdr:to>
      <xdr:col>58</xdr:col>
      <xdr:colOff>12620</xdr:colOff>
      <xdr:row>46</xdr:row>
      <xdr:rowOff>66675</xdr:rowOff>
    </xdr:to>
    <xdr:sp macro="" textlink="">
      <xdr:nvSpPr>
        <xdr:cNvPr id="71" name="Tile69">
          <a:extLst>
            <a:ext uri="{FF2B5EF4-FFF2-40B4-BE49-F238E27FC236}">
              <a16:creationId xmlns:a16="http://schemas.microsoft.com/office/drawing/2014/main" id="{ECF037CD-5408-434C-BC5E-27A59A8FF8CB}"/>
            </a:ext>
          </a:extLst>
        </xdr:cNvPr>
        <xdr:cNvSpPr/>
      </xdr:nvSpPr>
      <xdr:spPr>
        <a:xfrm>
          <a:off x="5091680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69</a:t>
          </a:r>
        </a:p>
      </xdr:txBody>
    </xdr:sp>
    <xdr:clientData/>
  </xdr:twoCellAnchor>
  <xdr:twoCellAnchor>
    <xdr:from>
      <xdr:col>58</xdr:col>
      <xdr:colOff>62114</xdr:colOff>
      <xdr:row>41</xdr:row>
      <xdr:rowOff>28575</xdr:rowOff>
    </xdr:from>
    <xdr:to>
      <xdr:col>63</xdr:col>
      <xdr:colOff>31304</xdr:colOff>
      <xdr:row>46</xdr:row>
      <xdr:rowOff>66675</xdr:rowOff>
    </xdr:to>
    <xdr:sp macro="" textlink="">
      <xdr:nvSpPr>
        <xdr:cNvPr id="72" name="Tile70">
          <a:extLst>
            <a:ext uri="{FF2B5EF4-FFF2-40B4-BE49-F238E27FC236}">
              <a16:creationId xmlns:a16="http://schemas.microsoft.com/office/drawing/2014/main" id="{7CEF8891-0F5A-48D9-9032-289A79EEBC72}"/>
            </a:ext>
          </a:extLst>
        </xdr:cNvPr>
        <xdr:cNvSpPr/>
      </xdr:nvSpPr>
      <xdr:spPr>
        <a:xfrm>
          <a:off x="5586614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70</a:t>
          </a:r>
        </a:p>
      </xdr:txBody>
    </xdr:sp>
    <xdr:clientData/>
  </xdr:twoCellAnchor>
  <xdr:twoCellAnchor>
    <xdr:from>
      <xdr:col>63</xdr:col>
      <xdr:colOff>80797</xdr:colOff>
      <xdr:row>41</xdr:row>
      <xdr:rowOff>28575</xdr:rowOff>
    </xdr:from>
    <xdr:to>
      <xdr:col>68</xdr:col>
      <xdr:colOff>49987</xdr:colOff>
      <xdr:row>46</xdr:row>
      <xdr:rowOff>66675</xdr:rowOff>
    </xdr:to>
    <xdr:sp macro="" textlink="">
      <xdr:nvSpPr>
        <xdr:cNvPr id="73" name="Tile71">
          <a:extLst>
            <a:ext uri="{FF2B5EF4-FFF2-40B4-BE49-F238E27FC236}">
              <a16:creationId xmlns:a16="http://schemas.microsoft.com/office/drawing/2014/main" id="{B9228EB2-2B92-4717-AEB1-F31760E48422}"/>
            </a:ext>
          </a:extLst>
        </xdr:cNvPr>
        <xdr:cNvSpPr/>
      </xdr:nvSpPr>
      <xdr:spPr>
        <a:xfrm>
          <a:off x="6081547" y="3933825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71</a:t>
          </a:r>
        </a:p>
      </xdr:txBody>
    </xdr:sp>
    <xdr:clientData/>
  </xdr:twoCellAnchor>
  <xdr:twoCellAnchor>
    <xdr:from>
      <xdr:col>30</xdr:col>
      <xdr:colOff>6979</xdr:colOff>
      <xdr:row>45</xdr:row>
      <xdr:rowOff>76200</xdr:rowOff>
    </xdr:from>
    <xdr:to>
      <xdr:col>34</xdr:col>
      <xdr:colOff>71419</xdr:colOff>
      <xdr:row>51</xdr:row>
      <xdr:rowOff>19050</xdr:rowOff>
    </xdr:to>
    <xdr:sp macro="" textlink="">
      <xdr:nvSpPr>
        <xdr:cNvPr id="74" name="Tile72">
          <a:extLst>
            <a:ext uri="{FF2B5EF4-FFF2-40B4-BE49-F238E27FC236}">
              <a16:creationId xmlns:a16="http://schemas.microsoft.com/office/drawing/2014/main" id="{CB1D1A30-E92D-45A6-A3B1-CA75BFA05B84}"/>
            </a:ext>
          </a:extLst>
        </xdr:cNvPr>
        <xdr:cNvSpPr/>
      </xdr:nvSpPr>
      <xdr:spPr>
        <a:xfrm>
          <a:off x="2864479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72</a:t>
          </a:r>
        </a:p>
      </xdr:txBody>
    </xdr:sp>
    <xdr:clientData/>
  </xdr:twoCellAnchor>
  <xdr:twoCellAnchor>
    <xdr:from>
      <xdr:col>35</xdr:col>
      <xdr:colOff>25663</xdr:colOff>
      <xdr:row>45</xdr:row>
      <xdr:rowOff>76200</xdr:rowOff>
    </xdr:from>
    <xdr:to>
      <xdr:col>39</xdr:col>
      <xdr:colOff>90103</xdr:colOff>
      <xdr:row>51</xdr:row>
      <xdr:rowOff>19050</xdr:rowOff>
    </xdr:to>
    <xdr:sp macro="" textlink="">
      <xdr:nvSpPr>
        <xdr:cNvPr id="75" name="Tile73">
          <a:extLst>
            <a:ext uri="{FF2B5EF4-FFF2-40B4-BE49-F238E27FC236}">
              <a16:creationId xmlns:a16="http://schemas.microsoft.com/office/drawing/2014/main" id="{CFBB313C-E1AC-4FD6-96D7-BD5BCF46B9C7}"/>
            </a:ext>
          </a:extLst>
        </xdr:cNvPr>
        <xdr:cNvSpPr/>
      </xdr:nvSpPr>
      <xdr:spPr>
        <a:xfrm>
          <a:off x="3359413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73</a:t>
          </a:r>
        </a:p>
      </xdr:txBody>
    </xdr:sp>
    <xdr:clientData/>
  </xdr:twoCellAnchor>
  <xdr:twoCellAnchor>
    <xdr:from>
      <xdr:col>40</xdr:col>
      <xdr:colOff>44347</xdr:colOff>
      <xdr:row>45</xdr:row>
      <xdr:rowOff>76200</xdr:rowOff>
    </xdr:from>
    <xdr:to>
      <xdr:col>45</xdr:col>
      <xdr:colOff>13537</xdr:colOff>
      <xdr:row>51</xdr:row>
      <xdr:rowOff>19050</xdr:rowOff>
    </xdr:to>
    <xdr:sp macro="" textlink="">
      <xdr:nvSpPr>
        <xdr:cNvPr id="76" name="Tile74">
          <a:extLst>
            <a:ext uri="{FF2B5EF4-FFF2-40B4-BE49-F238E27FC236}">
              <a16:creationId xmlns:a16="http://schemas.microsoft.com/office/drawing/2014/main" id="{5C54D346-6BB7-4311-8DE0-9D56DA560AE6}"/>
            </a:ext>
          </a:extLst>
        </xdr:cNvPr>
        <xdr:cNvSpPr/>
      </xdr:nvSpPr>
      <xdr:spPr>
        <a:xfrm>
          <a:off x="3854347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74</a:t>
          </a:r>
        </a:p>
      </xdr:txBody>
    </xdr:sp>
    <xdr:clientData/>
  </xdr:twoCellAnchor>
  <xdr:twoCellAnchor>
    <xdr:from>
      <xdr:col>45</xdr:col>
      <xdr:colOff>63030</xdr:colOff>
      <xdr:row>45</xdr:row>
      <xdr:rowOff>76200</xdr:rowOff>
    </xdr:from>
    <xdr:to>
      <xdr:col>50</xdr:col>
      <xdr:colOff>32220</xdr:colOff>
      <xdr:row>51</xdr:row>
      <xdr:rowOff>19050</xdr:rowOff>
    </xdr:to>
    <xdr:sp macro="" textlink="">
      <xdr:nvSpPr>
        <xdr:cNvPr id="77" name="Tile75">
          <a:extLst>
            <a:ext uri="{FF2B5EF4-FFF2-40B4-BE49-F238E27FC236}">
              <a16:creationId xmlns:a16="http://schemas.microsoft.com/office/drawing/2014/main" id="{BD114379-DF86-40BC-B019-F01AEB930C82}"/>
            </a:ext>
          </a:extLst>
        </xdr:cNvPr>
        <xdr:cNvSpPr/>
      </xdr:nvSpPr>
      <xdr:spPr>
        <a:xfrm>
          <a:off x="4349280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75</a:t>
          </a:r>
        </a:p>
      </xdr:txBody>
    </xdr:sp>
    <xdr:clientData/>
  </xdr:twoCellAnchor>
  <xdr:twoCellAnchor>
    <xdr:from>
      <xdr:col>50</xdr:col>
      <xdr:colOff>81714</xdr:colOff>
      <xdr:row>45</xdr:row>
      <xdr:rowOff>76200</xdr:rowOff>
    </xdr:from>
    <xdr:to>
      <xdr:col>55</xdr:col>
      <xdr:colOff>50904</xdr:colOff>
      <xdr:row>51</xdr:row>
      <xdr:rowOff>19050</xdr:rowOff>
    </xdr:to>
    <xdr:sp macro="" textlink="">
      <xdr:nvSpPr>
        <xdr:cNvPr id="78" name="Tile76">
          <a:extLst>
            <a:ext uri="{FF2B5EF4-FFF2-40B4-BE49-F238E27FC236}">
              <a16:creationId xmlns:a16="http://schemas.microsoft.com/office/drawing/2014/main" id="{9DBFCA22-4E5A-4047-A232-14E86BFC57DC}"/>
            </a:ext>
          </a:extLst>
        </xdr:cNvPr>
        <xdr:cNvSpPr/>
      </xdr:nvSpPr>
      <xdr:spPr>
        <a:xfrm>
          <a:off x="4844214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76</a:t>
          </a:r>
        </a:p>
      </xdr:txBody>
    </xdr:sp>
    <xdr:clientData/>
  </xdr:twoCellAnchor>
  <xdr:twoCellAnchor>
    <xdr:from>
      <xdr:col>56</xdr:col>
      <xdr:colOff>5147</xdr:colOff>
      <xdr:row>45</xdr:row>
      <xdr:rowOff>76200</xdr:rowOff>
    </xdr:from>
    <xdr:to>
      <xdr:col>60</xdr:col>
      <xdr:colOff>69587</xdr:colOff>
      <xdr:row>51</xdr:row>
      <xdr:rowOff>19050</xdr:rowOff>
    </xdr:to>
    <xdr:sp macro="" textlink="">
      <xdr:nvSpPr>
        <xdr:cNvPr id="79" name="Tile77">
          <a:extLst>
            <a:ext uri="{FF2B5EF4-FFF2-40B4-BE49-F238E27FC236}">
              <a16:creationId xmlns:a16="http://schemas.microsoft.com/office/drawing/2014/main" id="{5756A160-89A0-4ECD-8995-D58C3711005A}"/>
            </a:ext>
          </a:extLst>
        </xdr:cNvPr>
        <xdr:cNvSpPr/>
      </xdr:nvSpPr>
      <xdr:spPr>
        <a:xfrm>
          <a:off x="5339147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77</a:t>
          </a:r>
        </a:p>
      </xdr:txBody>
    </xdr:sp>
    <xdr:clientData/>
  </xdr:twoCellAnchor>
  <xdr:twoCellAnchor>
    <xdr:from>
      <xdr:col>61</xdr:col>
      <xdr:colOff>23831</xdr:colOff>
      <xdr:row>45</xdr:row>
      <xdr:rowOff>76200</xdr:rowOff>
    </xdr:from>
    <xdr:to>
      <xdr:col>65</xdr:col>
      <xdr:colOff>88271</xdr:colOff>
      <xdr:row>51</xdr:row>
      <xdr:rowOff>19050</xdr:rowOff>
    </xdr:to>
    <xdr:sp macro="" textlink="">
      <xdr:nvSpPr>
        <xdr:cNvPr id="80" name="Tile78">
          <a:extLst>
            <a:ext uri="{FF2B5EF4-FFF2-40B4-BE49-F238E27FC236}">
              <a16:creationId xmlns:a16="http://schemas.microsoft.com/office/drawing/2014/main" id="{D904A9EE-4063-4FF5-A977-C2CFAC2C2F19}"/>
            </a:ext>
          </a:extLst>
        </xdr:cNvPr>
        <xdr:cNvSpPr/>
      </xdr:nvSpPr>
      <xdr:spPr>
        <a:xfrm>
          <a:off x="5834081" y="4362450"/>
          <a:ext cx="445440" cy="514350"/>
        </a:xfrm>
        <a:custGeom>
          <a:avLst/>
          <a:gdLst>
            <a:gd name="connsiteX0" fmla="*/ 477624 w 509523"/>
            <a:gd name="connsiteY0" fmla="*/ 417999 h 579005"/>
            <a:gd name="connsiteX1" fmla="*/ 255096 w 509523"/>
            <a:gd name="connsiteY1" fmla="*/ 546476 h 579005"/>
            <a:gd name="connsiteX2" fmla="*/ 32569 w 509523"/>
            <a:gd name="connsiteY2" fmla="*/ 417999 h 579005"/>
            <a:gd name="connsiteX3" fmla="*/ 32569 w 509523"/>
            <a:gd name="connsiteY3" fmla="*/ 161046 h 579005"/>
            <a:gd name="connsiteX4" fmla="*/ 255096 w 509523"/>
            <a:gd name="connsiteY4" fmla="*/ 32569 h 579005"/>
            <a:gd name="connsiteX5" fmla="*/ 477624 w 509523"/>
            <a:gd name="connsiteY5" fmla="*/ 161046 h 579005"/>
            <a:gd name="connsiteX0" fmla="*/ 445055 w 445055"/>
            <a:gd name="connsiteY0" fmla="*/ 385430 h 513907"/>
            <a:gd name="connsiteX1" fmla="*/ 222527 w 445055"/>
            <a:gd name="connsiteY1" fmla="*/ 513907 h 513907"/>
            <a:gd name="connsiteX2" fmla="*/ 0 w 445055"/>
            <a:gd name="connsiteY2" fmla="*/ 385430 h 513907"/>
            <a:gd name="connsiteX3" fmla="*/ 0 w 445055"/>
            <a:gd name="connsiteY3" fmla="*/ 128477 h 513907"/>
            <a:gd name="connsiteX4" fmla="*/ 222527 w 445055"/>
            <a:gd name="connsiteY4" fmla="*/ 0 h 513907"/>
            <a:gd name="connsiteX5" fmla="*/ 445055 w 445055"/>
            <a:gd name="connsiteY5" fmla="*/ 128477 h 513907"/>
            <a:gd name="connsiteX6" fmla="*/ 445055 w 445055"/>
            <a:gd name="connsiteY6" fmla="*/ 385430 h 5139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5055" h="513907">
              <a:moveTo>
                <a:pt x="445055" y="385430"/>
              </a:moveTo>
              <a:lnTo>
                <a:pt x="222527" y="513907"/>
              </a:lnTo>
              <a:lnTo>
                <a:pt x="0" y="385430"/>
              </a:lnTo>
              <a:lnTo>
                <a:pt x="0" y="128477"/>
              </a:lnTo>
              <a:lnTo>
                <a:pt x="222527" y="0"/>
              </a:lnTo>
              <a:lnTo>
                <a:pt x="445055" y="128477"/>
              </a:lnTo>
              <a:lnTo>
                <a:pt x="445055" y="385430"/>
              </a:lnTo>
              <a:close/>
            </a:path>
          </a:pathLst>
        </a:custGeom>
        <a:noFill/>
        <a:ln w="9525" cap="rnd">
          <a:solidFill>
            <a:schemeClr val="bg1">
              <a:lumMod val="50000"/>
            </a:schemeClr>
          </a:solidFill>
          <a:prstDash val="solid"/>
          <a:round/>
        </a:ln>
      </xdr:spPr>
      <xdr:txBody>
        <a:bodyPr rtlCol="0" anchor="ctr"/>
        <a:lstStyle/>
        <a:p>
          <a:pPr algn="ctr"/>
          <a:r>
            <a:rPr lang="ru-RU"/>
            <a:t>78</a:t>
          </a:r>
        </a:p>
      </xdr:txBody>
    </xdr:sp>
    <xdr:clientData/>
  </xdr:twoCellAnchor>
  <xdr:twoCellAnchor>
    <xdr:from>
      <xdr:col>38</xdr:col>
      <xdr:colOff>0</xdr:colOff>
      <xdr:row>2</xdr:row>
      <xdr:rowOff>0</xdr:rowOff>
    </xdr:from>
    <xdr:to>
      <xdr:col>52</xdr:col>
      <xdr:colOff>0</xdr:colOff>
      <xdr:row>5</xdr:row>
      <xdr:rowOff>0</xdr:rowOff>
    </xdr:to>
    <xdr:sp macro="[0]!export_level.export_level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3575F736-47E5-43E6-8271-49BF969154F8}"/>
            </a:ext>
          </a:extLst>
        </xdr:cNvPr>
        <xdr:cNvSpPr/>
      </xdr:nvSpPr>
      <xdr:spPr>
        <a:xfrm>
          <a:off x="3619500" y="190500"/>
          <a:ext cx="13335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"/>
  <dimension ref="I2:JD212"/>
  <sheetViews>
    <sheetView tabSelected="1" topLeftCell="A19" zoomScale="40" zoomScaleNormal="40" workbookViewId="0">
      <selection activeCell="JH110" sqref="JH110"/>
    </sheetView>
  </sheetViews>
  <sheetFormatPr defaultColWidth="1.42578125" defaultRowHeight="7.5" customHeight="1" x14ac:dyDescent="0.25"/>
  <cols>
    <col min="109" max="109" width="1.42578125" customWidth="1"/>
  </cols>
  <sheetData>
    <row r="2" spans="9:264" ht="7.5" customHeight="1" x14ac:dyDescent="0.25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7" spans="9:264" ht="7.5" customHeight="1" x14ac:dyDescent="0.25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3"/>
    </row>
    <row r="8" spans="9:264" ht="7.5" customHeight="1" x14ac:dyDescent="0.25"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9"/>
    </row>
    <row r="9" spans="9:264" ht="7.5" customHeight="1" x14ac:dyDescent="0.25">
      <c r="I9" s="23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5"/>
      <c r="CS9" s="23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5"/>
      <c r="GC9" s="23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5"/>
    </row>
    <row r="10" spans="9:264" ht="7.5" customHeight="1" x14ac:dyDescent="0.25">
      <c r="I10" s="26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8"/>
      <c r="CS10" s="26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8"/>
      <c r="GC10" s="26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7"/>
      <c r="HN10" s="27"/>
      <c r="HO10" s="27"/>
      <c r="HP10" s="27"/>
      <c r="HQ10" s="27"/>
      <c r="HR10" s="27"/>
      <c r="HS10" s="27"/>
      <c r="HT10" s="27"/>
      <c r="HU10" s="27"/>
      <c r="HV10" s="27"/>
      <c r="HW10" s="27"/>
      <c r="HX10" s="27"/>
      <c r="HY10" s="27"/>
      <c r="HZ10" s="27"/>
      <c r="IA10" s="27"/>
      <c r="IB10" s="27"/>
      <c r="IC10" s="27"/>
      <c r="ID10" s="27"/>
      <c r="IE10" s="27"/>
      <c r="IF10" s="27"/>
      <c r="IG10" s="27"/>
      <c r="IH10" s="27"/>
      <c r="II10" s="27"/>
      <c r="IJ10" s="27"/>
      <c r="IK10" s="27"/>
      <c r="IL10" s="27"/>
      <c r="IM10" s="27"/>
      <c r="IN10" s="27"/>
      <c r="IO10" s="27"/>
      <c r="IP10" s="27"/>
      <c r="IQ10" s="27"/>
      <c r="IR10" s="27"/>
      <c r="IS10" s="27"/>
      <c r="IT10" s="27"/>
      <c r="IU10" s="27"/>
      <c r="IV10" s="27"/>
      <c r="IW10" s="27"/>
      <c r="IX10" s="27"/>
      <c r="IY10" s="27"/>
      <c r="IZ10" s="27"/>
      <c r="JA10" s="27"/>
      <c r="JB10" s="27"/>
      <c r="JC10" s="27"/>
      <c r="JD10" s="28"/>
    </row>
    <row r="11" spans="9:264" ht="7.5" customHeight="1" x14ac:dyDescent="0.25"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8"/>
      <c r="CS11" s="26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8"/>
      <c r="GC11" s="26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  <c r="IB11" s="27"/>
      <c r="IC11" s="27"/>
      <c r="ID11" s="27"/>
      <c r="IE11" s="27"/>
      <c r="IF11" s="27"/>
      <c r="IG11" s="27"/>
      <c r="IH11" s="27"/>
      <c r="II11" s="27"/>
      <c r="IJ11" s="27"/>
      <c r="IK11" s="27"/>
      <c r="IL11" s="27"/>
      <c r="IM11" s="27"/>
      <c r="IN11" s="27"/>
      <c r="IO11" s="27"/>
      <c r="IP11" s="27"/>
      <c r="IQ11" s="27"/>
      <c r="IR11" s="27"/>
      <c r="IS11" s="27"/>
      <c r="IT11" s="27"/>
      <c r="IU11" s="27"/>
      <c r="IV11" s="27"/>
      <c r="IW11" s="27"/>
      <c r="IX11" s="27"/>
      <c r="IY11" s="27"/>
      <c r="IZ11" s="27"/>
      <c r="JA11" s="27"/>
      <c r="JB11" s="27"/>
      <c r="JC11" s="27"/>
      <c r="JD11" s="28"/>
    </row>
    <row r="12" spans="9:264" ht="7.5" customHeight="1" x14ac:dyDescent="0.25">
      <c r="I12" s="26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8"/>
      <c r="CS12" s="26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8"/>
      <c r="GC12" s="26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  <c r="IG12" s="27"/>
      <c r="IH12" s="27"/>
      <c r="II12" s="27"/>
      <c r="IJ12" s="27"/>
      <c r="IK12" s="27"/>
      <c r="IL12" s="27"/>
      <c r="IM12" s="27"/>
      <c r="IN12" s="27"/>
      <c r="IO12" s="27"/>
      <c r="IP12" s="27"/>
      <c r="IQ12" s="27"/>
      <c r="IR12" s="27"/>
      <c r="IS12" s="27"/>
      <c r="IT12" s="27"/>
      <c r="IU12" s="27"/>
      <c r="IV12" s="27"/>
      <c r="IW12" s="27"/>
      <c r="IX12" s="27"/>
      <c r="IY12" s="27"/>
      <c r="IZ12" s="27"/>
      <c r="JA12" s="27"/>
      <c r="JB12" s="27"/>
      <c r="JC12" s="27"/>
      <c r="JD12" s="28"/>
    </row>
    <row r="13" spans="9:264" ht="7.5" customHeight="1" x14ac:dyDescent="0.25">
      <c r="I13" s="26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8"/>
      <c r="CS13" s="26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8"/>
      <c r="GC13" s="26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  <c r="IG13" s="27"/>
      <c r="IH13" s="27"/>
      <c r="II13" s="27"/>
      <c r="IJ13" s="27"/>
      <c r="IK13" s="27"/>
      <c r="IL13" s="27"/>
      <c r="IM13" s="27"/>
      <c r="IN13" s="27"/>
      <c r="IO13" s="27"/>
      <c r="IP13" s="27"/>
      <c r="IQ13" s="27"/>
      <c r="IR13" s="27"/>
      <c r="IS13" s="27"/>
      <c r="IT13" s="27"/>
      <c r="IU13" s="27"/>
      <c r="IV13" s="27"/>
      <c r="IW13" s="27"/>
      <c r="IX13" s="27"/>
      <c r="IY13" s="27"/>
      <c r="IZ13" s="27"/>
      <c r="JA13" s="27"/>
      <c r="JB13" s="27"/>
      <c r="JC13" s="27"/>
      <c r="JD13" s="28"/>
    </row>
    <row r="14" spans="9:264" ht="7.5" customHeight="1" x14ac:dyDescent="0.25">
      <c r="I14" s="26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8"/>
      <c r="CS14" s="26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8"/>
      <c r="GC14" s="26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  <c r="IB14" s="27"/>
      <c r="IC14" s="27"/>
      <c r="ID14" s="27"/>
      <c r="IE14" s="27"/>
      <c r="IF14" s="27"/>
      <c r="IG14" s="27"/>
      <c r="IH14" s="27"/>
      <c r="II14" s="27"/>
      <c r="IJ14" s="27"/>
      <c r="IK14" s="27"/>
      <c r="IL14" s="27"/>
      <c r="IM14" s="27"/>
      <c r="IN14" s="27"/>
      <c r="IO14" s="27"/>
      <c r="IP14" s="27"/>
      <c r="IQ14" s="27"/>
      <c r="IR14" s="27"/>
      <c r="IS14" s="27"/>
      <c r="IT14" s="27"/>
      <c r="IU14" s="27"/>
      <c r="IV14" s="27"/>
      <c r="IW14" s="27"/>
      <c r="IX14" s="27"/>
      <c r="IY14" s="27"/>
      <c r="IZ14" s="27"/>
      <c r="JA14" s="27"/>
      <c r="JB14" s="27"/>
      <c r="JC14" s="27"/>
      <c r="JD14" s="28"/>
    </row>
    <row r="15" spans="9:264" ht="7.5" customHeight="1" x14ac:dyDescent="0.25">
      <c r="I15" s="26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8"/>
      <c r="CS15" s="26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8"/>
      <c r="GC15" s="26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  <c r="IA15" s="27"/>
      <c r="IB15" s="27"/>
      <c r="IC15" s="27"/>
      <c r="ID15" s="27"/>
      <c r="IE15" s="27"/>
      <c r="IF15" s="27"/>
      <c r="IG15" s="27"/>
      <c r="IH15" s="27"/>
      <c r="II15" s="27"/>
      <c r="IJ15" s="27"/>
      <c r="IK15" s="27"/>
      <c r="IL15" s="27"/>
      <c r="IM15" s="27"/>
      <c r="IN15" s="27"/>
      <c r="IO15" s="27"/>
      <c r="IP15" s="27"/>
      <c r="IQ15" s="27"/>
      <c r="IR15" s="27"/>
      <c r="IS15" s="27"/>
      <c r="IT15" s="27"/>
      <c r="IU15" s="27"/>
      <c r="IV15" s="27"/>
      <c r="IW15" s="27"/>
      <c r="IX15" s="27"/>
      <c r="IY15" s="27"/>
      <c r="IZ15" s="27"/>
      <c r="JA15" s="27"/>
      <c r="JB15" s="27"/>
      <c r="JC15" s="27"/>
      <c r="JD15" s="28"/>
    </row>
    <row r="16" spans="9:264" ht="7.5" customHeight="1" x14ac:dyDescent="0.25">
      <c r="I16" s="26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8"/>
      <c r="CS16" s="26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8"/>
      <c r="GC16" s="26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  <c r="IB16" s="27"/>
      <c r="IC16" s="27"/>
      <c r="ID16" s="27"/>
      <c r="IE16" s="27"/>
      <c r="IF16" s="27"/>
      <c r="IG16" s="27"/>
      <c r="IH16" s="27"/>
      <c r="II16" s="27"/>
      <c r="IJ16" s="27"/>
      <c r="IK16" s="27"/>
      <c r="IL16" s="27"/>
      <c r="IM16" s="27"/>
      <c r="IN16" s="27"/>
      <c r="IO16" s="27"/>
      <c r="IP16" s="27"/>
      <c r="IQ16" s="27"/>
      <c r="IR16" s="27"/>
      <c r="IS16" s="27"/>
      <c r="IT16" s="27"/>
      <c r="IU16" s="27"/>
      <c r="IV16" s="27"/>
      <c r="IW16" s="27"/>
      <c r="IX16" s="27"/>
      <c r="IY16" s="27"/>
      <c r="IZ16" s="27"/>
      <c r="JA16" s="27"/>
      <c r="JB16" s="27"/>
      <c r="JC16" s="27"/>
      <c r="JD16" s="28"/>
    </row>
    <row r="17" spans="9:264" ht="7.5" customHeight="1" x14ac:dyDescent="0.25">
      <c r="I17" s="26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8"/>
      <c r="CS17" s="26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8"/>
      <c r="GC17" s="26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  <c r="IB17" s="27"/>
      <c r="IC17" s="27"/>
      <c r="ID17" s="27"/>
      <c r="IE17" s="27"/>
      <c r="IF17" s="27"/>
      <c r="IG17" s="27"/>
      <c r="IH17" s="27"/>
      <c r="II17" s="27"/>
      <c r="IJ17" s="27"/>
      <c r="IK17" s="27"/>
      <c r="IL17" s="27"/>
      <c r="IM17" s="27"/>
      <c r="IN17" s="27"/>
      <c r="IO17" s="27"/>
      <c r="IP17" s="27"/>
      <c r="IQ17" s="27"/>
      <c r="IR17" s="27"/>
      <c r="IS17" s="27"/>
      <c r="IT17" s="27"/>
      <c r="IU17" s="27"/>
      <c r="IV17" s="27"/>
      <c r="IW17" s="27"/>
      <c r="IX17" s="27"/>
      <c r="IY17" s="27"/>
      <c r="IZ17" s="27"/>
      <c r="JA17" s="27"/>
      <c r="JB17" s="27"/>
      <c r="JC17" s="27"/>
      <c r="JD17" s="28"/>
    </row>
    <row r="18" spans="9:264" ht="7.5" customHeight="1" x14ac:dyDescent="0.25">
      <c r="I18" s="26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8"/>
      <c r="CS18" s="26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8"/>
      <c r="GC18" s="26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  <c r="IA18" s="27"/>
      <c r="IB18" s="27"/>
      <c r="IC18" s="27"/>
      <c r="ID18" s="27"/>
      <c r="IE18" s="27"/>
      <c r="IF18" s="27"/>
      <c r="IG18" s="27"/>
      <c r="IH18" s="27"/>
      <c r="II18" s="27"/>
      <c r="IJ18" s="27"/>
      <c r="IK18" s="27"/>
      <c r="IL18" s="27"/>
      <c r="IM18" s="27"/>
      <c r="IN18" s="27"/>
      <c r="IO18" s="27"/>
      <c r="IP18" s="27"/>
      <c r="IQ18" s="27"/>
      <c r="IR18" s="27"/>
      <c r="IS18" s="27"/>
      <c r="IT18" s="27"/>
      <c r="IU18" s="27"/>
      <c r="IV18" s="27"/>
      <c r="IW18" s="27"/>
      <c r="IX18" s="27"/>
      <c r="IY18" s="27"/>
      <c r="IZ18" s="27"/>
      <c r="JA18" s="27"/>
      <c r="JB18" s="27"/>
      <c r="JC18" s="27"/>
      <c r="JD18" s="28"/>
    </row>
    <row r="19" spans="9:264" ht="7.5" customHeight="1" x14ac:dyDescent="0.25">
      <c r="I19" s="26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8"/>
      <c r="CS19" s="26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8"/>
      <c r="GC19" s="26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  <c r="IA19" s="27"/>
      <c r="IB19" s="27"/>
      <c r="IC19" s="27"/>
      <c r="ID19" s="27"/>
      <c r="IE19" s="27"/>
      <c r="IF19" s="27"/>
      <c r="IG19" s="27"/>
      <c r="IH19" s="27"/>
      <c r="II19" s="27"/>
      <c r="IJ19" s="27"/>
      <c r="IK19" s="27"/>
      <c r="IL19" s="27"/>
      <c r="IM19" s="27"/>
      <c r="IN19" s="27"/>
      <c r="IO19" s="27"/>
      <c r="IP19" s="27"/>
      <c r="IQ19" s="27"/>
      <c r="IR19" s="27"/>
      <c r="IS19" s="27"/>
      <c r="IT19" s="27"/>
      <c r="IU19" s="27"/>
      <c r="IV19" s="27"/>
      <c r="IW19" s="27"/>
      <c r="IX19" s="27"/>
      <c r="IY19" s="27"/>
      <c r="IZ19" s="27"/>
      <c r="JA19" s="27"/>
      <c r="JB19" s="27"/>
      <c r="JC19" s="27"/>
      <c r="JD19" s="28"/>
    </row>
    <row r="20" spans="9:264" ht="7.5" customHeight="1" x14ac:dyDescent="0.25">
      <c r="I20" s="26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8"/>
      <c r="CS20" s="26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8"/>
      <c r="GC20" s="26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  <c r="IA20" s="27"/>
      <c r="IB20" s="27"/>
      <c r="IC20" s="27"/>
      <c r="ID20" s="27"/>
      <c r="IE20" s="27"/>
      <c r="IF20" s="27"/>
      <c r="IG20" s="27"/>
      <c r="IH20" s="27"/>
      <c r="II20" s="27"/>
      <c r="IJ20" s="27"/>
      <c r="IK20" s="27"/>
      <c r="IL20" s="27"/>
      <c r="IM20" s="27"/>
      <c r="IN20" s="27"/>
      <c r="IO20" s="27"/>
      <c r="IP20" s="27"/>
      <c r="IQ20" s="27"/>
      <c r="IR20" s="27"/>
      <c r="IS20" s="27"/>
      <c r="IT20" s="27"/>
      <c r="IU20" s="27"/>
      <c r="IV20" s="27"/>
      <c r="IW20" s="27"/>
      <c r="IX20" s="27"/>
      <c r="IY20" s="27"/>
      <c r="IZ20" s="27"/>
      <c r="JA20" s="27"/>
      <c r="JB20" s="27"/>
      <c r="JC20" s="27"/>
      <c r="JD20" s="28"/>
    </row>
    <row r="21" spans="9:264" ht="7.5" customHeight="1" x14ac:dyDescent="0.25">
      <c r="I21" s="26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8"/>
      <c r="CS21" s="26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8"/>
      <c r="GC21" s="26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  <c r="IA21" s="27"/>
      <c r="IB21" s="27"/>
      <c r="IC21" s="27"/>
      <c r="ID21" s="27"/>
      <c r="IE21" s="27"/>
      <c r="IF21" s="27"/>
      <c r="IG21" s="27"/>
      <c r="IH21" s="27"/>
      <c r="II21" s="27"/>
      <c r="IJ21" s="27"/>
      <c r="IK21" s="27"/>
      <c r="IL21" s="27"/>
      <c r="IM21" s="27"/>
      <c r="IN21" s="27"/>
      <c r="IO21" s="27"/>
      <c r="IP21" s="27"/>
      <c r="IQ21" s="27"/>
      <c r="IR21" s="27"/>
      <c r="IS21" s="27"/>
      <c r="IT21" s="27"/>
      <c r="IU21" s="27"/>
      <c r="IV21" s="27"/>
      <c r="IW21" s="27"/>
      <c r="IX21" s="27"/>
      <c r="IY21" s="27"/>
      <c r="IZ21" s="27"/>
      <c r="JA21" s="27"/>
      <c r="JB21" s="27"/>
      <c r="JC21" s="27"/>
      <c r="JD21" s="28"/>
    </row>
    <row r="22" spans="9:264" ht="7.5" customHeight="1" x14ac:dyDescent="0.25">
      <c r="I22" s="26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8"/>
      <c r="CS22" s="26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8"/>
      <c r="GC22" s="26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  <c r="IA22" s="27"/>
      <c r="IB22" s="27"/>
      <c r="IC22" s="27"/>
      <c r="ID22" s="27"/>
      <c r="IE22" s="27"/>
      <c r="IF22" s="27"/>
      <c r="IG22" s="27"/>
      <c r="IH22" s="27"/>
      <c r="II22" s="27"/>
      <c r="IJ22" s="27"/>
      <c r="IK22" s="27"/>
      <c r="IL22" s="27"/>
      <c r="IM22" s="27"/>
      <c r="IN22" s="27"/>
      <c r="IO22" s="27"/>
      <c r="IP22" s="27"/>
      <c r="IQ22" s="27"/>
      <c r="IR22" s="27"/>
      <c r="IS22" s="27"/>
      <c r="IT22" s="27"/>
      <c r="IU22" s="27"/>
      <c r="IV22" s="27"/>
      <c r="IW22" s="27"/>
      <c r="IX22" s="27"/>
      <c r="IY22" s="27"/>
      <c r="IZ22" s="27"/>
      <c r="JA22" s="27"/>
      <c r="JB22" s="27"/>
      <c r="JC22" s="27"/>
      <c r="JD22" s="28"/>
    </row>
    <row r="23" spans="9:264" ht="7.5" customHeight="1" x14ac:dyDescent="0.25">
      <c r="I23" s="26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8"/>
      <c r="CS23" s="26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8"/>
      <c r="GC23" s="26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  <c r="IA23" s="27"/>
      <c r="IB23" s="27"/>
      <c r="IC23" s="27"/>
      <c r="ID23" s="27"/>
      <c r="IE23" s="27"/>
      <c r="IF23" s="27"/>
      <c r="IG23" s="27"/>
      <c r="IH23" s="27"/>
      <c r="II23" s="27"/>
      <c r="IJ23" s="27"/>
      <c r="IK23" s="27"/>
      <c r="IL23" s="27"/>
      <c r="IM23" s="27"/>
      <c r="IN23" s="27"/>
      <c r="IO23" s="27"/>
      <c r="IP23" s="27"/>
      <c r="IQ23" s="27"/>
      <c r="IR23" s="27"/>
      <c r="IS23" s="27"/>
      <c r="IT23" s="27"/>
      <c r="IU23" s="27"/>
      <c r="IV23" s="27"/>
      <c r="IW23" s="27"/>
      <c r="IX23" s="27"/>
      <c r="IY23" s="27"/>
      <c r="IZ23" s="27"/>
      <c r="JA23" s="27"/>
      <c r="JB23" s="27"/>
      <c r="JC23" s="27"/>
      <c r="JD23" s="28"/>
    </row>
    <row r="24" spans="9:264" ht="7.5" customHeight="1" x14ac:dyDescent="0.25">
      <c r="I24" s="26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8"/>
      <c r="CS24" s="26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8"/>
      <c r="GC24" s="26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  <c r="IB24" s="27"/>
      <c r="IC24" s="27"/>
      <c r="ID24" s="27"/>
      <c r="IE24" s="27"/>
      <c r="IF24" s="27"/>
      <c r="IG24" s="27"/>
      <c r="IH24" s="27"/>
      <c r="II24" s="27"/>
      <c r="IJ24" s="27"/>
      <c r="IK24" s="27"/>
      <c r="IL24" s="27"/>
      <c r="IM24" s="27"/>
      <c r="IN24" s="27"/>
      <c r="IO24" s="27"/>
      <c r="IP24" s="27"/>
      <c r="IQ24" s="27"/>
      <c r="IR24" s="27"/>
      <c r="IS24" s="27"/>
      <c r="IT24" s="27"/>
      <c r="IU24" s="27"/>
      <c r="IV24" s="27"/>
      <c r="IW24" s="27"/>
      <c r="IX24" s="27"/>
      <c r="IY24" s="27"/>
      <c r="IZ24" s="27"/>
      <c r="JA24" s="27"/>
      <c r="JB24" s="27"/>
      <c r="JC24" s="27"/>
      <c r="JD24" s="28"/>
    </row>
    <row r="25" spans="9:264" ht="7.5" customHeight="1" x14ac:dyDescent="0.25">
      <c r="I25" s="26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8"/>
      <c r="CS25" s="26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8"/>
      <c r="GC25" s="26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7"/>
      <c r="HN25" s="27"/>
      <c r="HO25" s="27"/>
      <c r="HP25" s="27"/>
      <c r="HQ25" s="27"/>
      <c r="HR25" s="27"/>
      <c r="HS25" s="27"/>
      <c r="HT25" s="27"/>
      <c r="HU25" s="27"/>
      <c r="HV25" s="27"/>
      <c r="HW25" s="27"/>
      <c r="HX25" s="27"/>
      <c r="HY25" s="27"/>
      <c r="HZ25" s="27"/>
      <c r="IA25" s="27"/>
      <c r="IB25" s="27"/>
      <c r="IC25" s="27"/>
      <c r="ID25" s="27"/>
      <c r="IE25" s="27"/>
      <c r="IF25" s="27"/>
      <c r="IG25" s="27"/>
      <c r="IH25" s="27"/>
      <c r="II25" s="27"/>
      <c r="IJ25" s="27"/>
      <c r="IK25" s="27"/>
      <c r="IL25" s="27"/>
      <c r="IM25" s="27"/>
      <c r="IN25" s="27"/>
      <c r="IO25" s="27"/>
      <c r="IP25" s="27"/>
      <c r="IQ25" s="27"/>
      <c r="IR25" s="27"/>
      <c r="IS25" s="27"/>
      <c r="IT25" s="27"/>
      <c r="IU25" s="27"/>
      <c r="IV25" s="27"/>
      <c r="IW25" s="27"/>
      <c r="IX25" s="27"/>
      <c r="IY25" s="27"/>
      <c r="IZ25" s="27"/>
      <c r="JA25" s="27"/>
      <c r="JB25" s="27"/>
      <c r="JC25" s="27"/>
      <c r="JD25" s="28"/>
    </row>
    <row r="26" spans="9:264" ht="7.5" customHeight="1" x14ac:dyDescent="0.25">
      <c r="I26" s="26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8"/>
      <c r="CS26" s="26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8"/>
      <c r="GC26" s="26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7"/>
      <c r="HN26" s="27"/>
      <c r="HO26" s="27"/>
      <c r="HP26" s="27"/>
      <c r="HQ26" s="27"/>
      <c r="HR26" s="27"/>
      <c r="HS26" s="27"/>
      <c r="HT26" s="27"/>
      <c r="HU26" s="27"/>
      <c r="HV26" s="27"/>
      <c r="HW26" s="27"/>
      <c r="HX26" s="27"/>
      <c r="HY26" s="27"/>
      <c r="HZ26" s="27"/>
      <c r="IA26" s="27"/>
      <c r="IB26" s="27"/>
      <c r="IC26" s="27"/>
      <c r="ID26" s="27"/>
      <c r="IE26" s="27"/>
      <c r="IF26" s="27"/>
      <c r="IG26" s="27"/>
      <c r="IH26" s="27"/>
      <c r="II26" s="27"/>
      <c r="IJ26" s="27"/>
      <c r="IK26" s="27"/>
      <c r="IL26" s="27"/>
      <c r="IM26" s="27"/>
      <c r="IN26" s="27"/>
      <c r="IO26" s="27"/>
      <c r="IP26" s="27"/>
      <c r="IQ26" s="27"/>
      <c r="IR26" s="27"/>
      <c r="IS26" s="27"/>
      <c r="IT26" s="27"/>
      <c r="IU26" s="27"/>
      <c r="IV26" s="27"/>
      <c r="IW26" s="27"/>
      <c r="IX26" s="27"/>
      <c r="IY26" s="27"/>
      <c r="IZ26" s="27"/>
      <c r="JA26" s="27"/>
      <c r="JB26" s="27"/>
      <c r="JC26" s="27"/>
      <c r="JD26" s="28"/>
    </row>
    <row r="27" spans="9:264" ht="7.5" customHeight="1" x14ac:dyDescent="0.25">
      <c r="I27" s="26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8"/>
      <c r="CS27" s="26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8"/>
      <c r="GC27" s="26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7"/>
      <c r="HN27" s="27"/>
      <c r="HO27" s="27"/>
      <c r="HP27" s="27"/>
      <c r="HQ27" s="27"/>
      <c r="HR27" s="27"/>
      <c r="HS27" s="27"/>
      <c r="HT27" s="27"/>
      <c r="HU27" s="27"/>
      <c r="HV27" s="27"/>
      <c r="HW27" s="27"/>
      <c r="HX27" s="27"/>
      <c r="HY27" s="27"/>
      <c r="HZ27" s="27"/>
      <c r="IA27" s="27"/>
      <c r="IB27" s="27"/>
      <c r="IC27" s="27"/>
      <c r="ID27" s="27"/>
      <c r="IE27" s="27"/>
      <c r="IF27" s="27"/>
      <c r="IG27" s="27"/>
      <c r="IH27" s="27"/>
      <c r="II27" s="27"/>
      <c r="IJ27" s="27"/>
      <c r="IK27" s="27"/>
      <c r="IL27" s="27"/>
      <c r="IM27" s="27"/>
      <c r="IN27" s="27"/>
      <c r="IO27" s="27"/>
      <c r="IP27" s="27"/>
      <c r="IQ27" s="27"/>
      <c r="IR27" s="27"/>
      <c r="IS27" s="27"/>
      <c r="IT27" s="27"/>
      <c r="IU27" s="27"/>
      <c r="IV27" s="27"/>
      <c r="IW27" s="27"/>
      <c r="IX27" s="27"/>
      <c r="IY27" s="27"/>
      <c r="IZ27" s="27"/>
      <c r="JA27" s="27"/>
      <c r="JB27" s="27"/>
      <c r="JC27" s="27"/>
      <c r="JD27" s="28"/>
    </row>
    <row r="28" spans="9:264" ht="7.5" customHeight="1" x14ac:dyDescent="0.25">
      <c r="I28" s="26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8"/>
      <c r="CS28" s="26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8"/>
      <c r="GC28" s="26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7"/>
      <c r="HN28" s="27"/>
      <c r="HO28" s="27"/>
      <c r="HP28" s="27"/>
      <c r="HQ28" s="27"/>
      <c r="HR28" s="27"/>
      <c r="HS28" s="27"/>
      <c r="HT28" s="27"/>
      <c r="HU28" s="27"/>
      <c r="HV28" s="27"/>
      <c r="HW28" s="27"/>
      <c r="HX28" s="27"/>
      <c r="HY28" s="27"/>
      <c r="HZ28" s="27"/>
      <c r="IA28" s="27"/>
      <c r="IB28" s="27"/>
      <c r="IC28" s="27"/>
      <c r="ID28" s="27"/>
      <c r="IE28" s="27"/>
      <c r="IF28" s="27"/>
      <c r="IG28" s="27"/>
      <c r="IH28" s="27"/>
      <c r="II28" s="27"/>
      <c r="IJ28" s="27"/>
      <c r="IK28" s="27"/>
      <c r="IL28" s="27"/>
      <c r="IM28" s="27"/>
      <c r="IN28" s="27"/>
      <c r="IO28" s="27"/>
      <c r="IP28" s="27"/>
      <c r="IQ28" s="27"/>
      <c r="IR28" s="27"/>
      <c r="IS28" s="27"/>
      <c r="IT28" s="27"/>
      <c r="IU28" s="27"/>
      <c r="IV28" s="27"/>
      <c r="IW28" s="27"/>
      <c r="IX28" s="27"/>
      <c r="IY28" s="27"/>
      <c r="IZ28" s="27"/>
      <c r="JA28" s="27"/>
      <c r="JB28" s="27"/>
      <c r="JC28" s="27"/>
      <c r="JD28" s="28"/>
    </row>
    <row r="29" spans="9:264" ht="7.5" customHeight="1" x14ac:dyDescent="0.25">
      <c r="I29" s="26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8"/>
      <c r="CS29" s="26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8"/>
      <c r="GC29" s="26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7"/>
      <c r="HN29" s="27"/>
      <c r="HO29" s="27"/>
      <c r="HP29" s="27"/>
      <c r="HQ29" s="27"/>
      <c r="HR29" s="27"/>
      <c r="HS29" s="27"/>
      <c r="HT29" s="27"/>
      <c r="HU29" s="27"/>
      <c r="HV29" s="27"/>
      <c r="HW29" s="27"/>
      <c r="HX29" s="27"/>
      <c r="HY29" s="27"/>
      <c r="HZ29" s="27"/>
      <c r="IA29" s="27"/>
      <c r="IB29" s="27"/>
      <c r="IC29" s="27"/>
      <c r="ID29" s="27"/>
      <c r="IE29" s="27"/>
      <c r="IF29" s="27"/>
      <c r="IG29" s="27"/>
      <c r="IH29" s="27"/>
      <c r="II29" s="27"/>
      <c r="IJ29" s="27"/>
      <c r="IK29" s="27"/>
      <c r="IL29" s="27"/>
      <c r="IM29" s="27"/>
      <c r="IN29" s="27"/>
      <c r="IO29" s="27"/>
      <c r="IP29" s="27"/>
      <c r="IQ29" s="27"/>
      <c r="IR29" s="27"/>
      <c r="IS29" s="27"/>
      <c r="IT29" s="27"/>
      <c r="IU29" s="27"/>
      <c r="IV29" s="27"/>
      <c r="IW29" s="27"/>
      <c r="IX29" s="27"/>
      <c r="IY29" s="27"/>
      <c r="IZ29" s="27"/>
      <c r="JA29" s="27"/>
      <c r="JB29" s="27"/>
      <c r="JC29" s="27"/>
      <c r="JD29" s="28"/>
    </row>
    <row r="30" spans="9:264" ht="7.5" customHeight="1" x14ac:dyDescent="0.25">
      <c r="I30" s="26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8"/>
      <c r="CS30" s="26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8"/>
      <c r="GC30" s="26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7"/>
      <c r="HN30" s="27"/>
      <c r="HO30" s="27"/>
      <c r="HP30" s="27"/>
      <c r="HQ30" s="27"/>
      <c r="HR30" s="27"/>
      <c r="HS30" s="27"/>
      <c r="HT30" s="27"/>
      <c r="HU30" s="27"/>
      <c r="HV30" s="27"/>
      <c r="HW30" s="27"/>
      <c r="HX30" s="27"/>
      <c r="HY30" s="27"/>
      <c r="HZ30" s="27"/>
      <c r="IA30" s="27"/>
      <c r="IB30" s="27"/>
      <c r="IC30" s="27"/>
      <c r="ID30" s="27"/>
      <c r="IE30" s="27"/>
      <c r="IF30" s="27"/>
      <c r="IG30" s="27"/>
      <c r="IH30" s="27"/>
      <c r="II30" s="27"/>
      <c r="IJ30" s="27"/>
      <c r="IK30" s="27"/>
      <c r="IL30" s="27"/>
      <c r="IM30" s="27"/>
      <c r="IN30" s="27"/>
      <c r="IO30" s="27"/>
      <c r="IP30" s="27"/>
      <c r="IQ30" s="27"/>
      <c r="IR30" s="27"/>
      <c r="IS30" s="27"/>
      <c r="IT30" s="27"/>
      <c r="IU30" s="27"/>
      <c r="IV30" s="27"/>
      <c r="IW30" s="27"/>
      <c r="IX30" s="27"/>
      <c r="IY30" s="27"/>
      <c r="IZ30" s="27"/>
      <c r="JA30" s="27"/>
      <c r="JB30" s="27"/>
      <c r="JC30" s="27"/>
      <c r="JD30" s="28"/>
    </row>
    <row r="31" spans="9:264" ht="7.5" customHeight="1" x14ac:dyDescent="0.25">
      <c r="I31" s="26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8"/>
      <c r="CS31" s="26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8"/>
      <c r="GC31" s="26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7"/>
      <c r="HN31" s="27"/>
      <c r="HO31" s="27"/>
      <c r="HP31" s="27"/>
      <c r="HQ31" s="27"/>
      <c r="HR31" s="27"/>
      <c r="HS31" s="27"/>
      <c r="HT31" s="27"/>
      <c r="HU31" s="27"/>
      <c r="HV31" s="27"/>
      <c r="HW31" s="27"/>
      <c r="HX31" s="27"/>
      <c r="HY31" s="27"/>
      <c r="HZ31" s="27"/>
      <c r="IA31" s="27"/>
      <c r="IB31" s="27"/>
      <c r="IC31" s="27"/>
      <c r="ID31" s="27"/>
      <c r="IE31" s="27"/>
      <c r="IF31" s="27"/>
      <c r="IG31" s="27"/>
      <c r="IH31" s="27"/>
      <c r="II31" s="27"/>
      <c r="IJ31" s="27"/>
      <c r="IK31" s="27"/>
      <c r="IL31" s="27"/>
      <c r="IM31" s="27"/>
      <c r="IN31" s="27"/>
      <c r="IO31" s="27"/>
      <c r="IP31" s="27"/>
      <c r="IQ31" s="27"/>
      <c r="IR31" s="27"/>
      <c r="IS31" s="27"/>
      <c r="IT31" s="27"/>
      <c r="IU31" s="27"/>
      <c r="IV31" s="27"/>
      <c r="IW31" s="27"/>
      <c r="IX31" s="27"/>
      <c r="IY31" s="27"/>
      <c r="IZ31" s="27"/>
      <c r="JA31" s="27"/>
      <c r="JB31" s="27"/>
      <c r="JC31" s="27"/>
      <c r="JD31" s="28"/>
    </row>
    <row r="32" spans="9:264" ht="7.5" customHeight="1" x14ac:dyDescent="0.25">
      <c r="I32" s="26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8"/>
      <c r="CS32" s="26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8"/>
      <c r="GC32" s="26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7"/>
      <c r="HN32" s="27"/>
      <c r="HO32" s="27"/>
      <c r="HP32" s="27"/>
      <c r="HQ32" s="27"/>
      <c r="HR32" s="27"/>
      <c r="HS32" s="27"/>
      <c r="HT32" s="27"/>
      <c r="HU32" s="27"/>
      <c r="HV32" s="27"/>
      <c r="HW32" s="27"/>
      <c r="HX32" s="27"/>
      <c r="HY32" s="27"/>
      <c r="HZ32" s="27"/>
      <c r="IA32" s="27"/>
      <c r="IB32" s="27"/>
      <c r="IC32" s="27"/>
      <c r="ID32" s="27"/>
      <c r="IE32" s="27"/>
      <c r="IF32" s="27"/>
      <c r="IG32" s="27"/>
      <c r="IH32" s="27"/>
      <c r="II32" s="27"/>
      <c r="IJ32" s="27"/>
      <c r="IK32" s="27"/>
      <c r="IL32" s="27"/>
      <c r="IM32" s="27"/>
      <c r="IN32" s="27"/>
      <c r="IO32" s="27"/>
      <c r="IP32" s="27"/>
      <c r="IQ32" s="27"/>
      <c r="IR32" s="27"/>
      <c r="IS32" s="27"/>
      <c r="IT32" s="27"/>
      <c r="IU32" s="27"/>
      <c r="IV32" s="27"/>
      <c r="IW32" s="27"/>
      <c r="IX32" s="27"/>
      <c r="IY32" s="27"/>
      <c r="IZ32" s="27"/>
      <c r="JA32" s="27"/>
      <c r="JB32" s="27"/>
      <c r="JC32" s="27"/>
      <c r="JD32" s="28"/>
    </row>
    <row r="33" spans="9:264" ht="7.5" customHeight="1" x14ac:dyDescent="0.25">
      <c r="I33" s="26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8"/>
      <c r="CS33" s="26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8"/>
      <c r="GC33" s="26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7"/>
      <c r="HN33" s="27"/>
      <c r="HO33" s="27"/>
      <c r="HP33" s="27"/>
      <c r="HQ33" s="27"/>
      <c r="HR33" s="27"/>
      <c r="HS33" s="27"/>
      <c r="HT33" s="27"/>
      <c r="HU33" s="27"/>
      <c r="HV33" s="27"/>
      <c r="HW33" s="27"/>
      <c r="HX33" s="27"/>
      <c r="HY33" s="27"/>
      <c r="HZ33" s="27"/>
      <c r="IA33" s="27"/>
      <c r="IB33" s="27"/>
      <c r="IC33" s="27"/>
      <c r="ID33" s="27"/>
      <c r="IE33" s="27"/>
      <c r="IF33" s="27"/>
      <c r="IG33" s="27"/>
      <c r="IH33" s="27"/>
      <c r="II33" s="27"/>
      <c r="IJ33" s="27"/>
      <c r="IK33" s="27"/>
      <c r="IL33" s="27"/>
      <c r="IM33" s="27"/>
      <c r="IN33" s="27"/>
      <c r="IO33" s="27"/>
      <c r="IP33" s="27"/>
      <c r="IQ33" s="27"/>
      <c r="IR33" s="27"/>
      <c r="IS33" s="27"/>
      <c r="IT33" s="27"/>
      <c r="IU33" s="27"/>
      <c r="IV33" s="27"/>
      <c r="IW33" s="27"/>
      <c r="IX33" s="27"/>
      <c r="IY33" s="27"/>
      <c r="IZ33" s="27"/>
      <c r="JA33" s="27"/>
      <c r="JB33" s="27"/>
      <c r="JC33" s="27"/>
      <c r="JD33" s="28"/>
    </row>
    <row r="34" spans="9:264" ht="7.5" customHeight="1" x14ac:dyDescent="0.25">
      <c r="I34" s="26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8"/>
      <c r="CS34" s="26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8"/>
      <c r="GC34" s="26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7"/>
      <c r="HN34" s="27"/>
      <c r="HO34" s="27"/>
      <c r="HP34" s="27"/>
      <c r="HQ34" s="27"/>
      <c r="HR34" s="27"/>
      <c r="HS34" s="27"/>
      <c r="HT34" s="27"/>
      <c r="HU34" s="27"/>
      <c r="HV34" s="27"/>
      <c r="HW34" s="27"/>
      <c r="HX34" s="27"/>
      <c r="HY34" s="27"/>
      <c r="HZ34" s="27"/>
      <c r="IA34" s="27"/>
      <c r="IB34" s="27"/>
      <c r="IC34" s="27"/>
      <c r="ID34" s="27"/>
      <c r="IE34" s="27"/>
      <c r="IF34" s="27"/>
      <c r="IG34" s="27"/>
      <c r="IH34" s="27"/>
      <c r="II34" s="27"/>
      <c r="IJ34" s="27"/>
      <c r="IK34" s="27"/>
      <c r="IL34" s="27"/>
      <c r="IM34" s="27"/>
      <c r="IN34" s="27"/>
      <c r="IO34" s="27"/>
      <c r="IP34" s="27"/>
      <c r="IQ34" s="27"/>
      <c r="IR34" s="27"/>
      <c r="IS34" s="27"/>
      <c r="IT34" s="27"/>
      <c r="IU34" s="27"/>
      <c r="IV34" s="27"/>
      <c r="IW34" s="27"/>
      <c r="IX34" s="27"/>
      <c r="IY34" s="27"/>
      <c r="IZ34" s="27"/>
      <c r="JA34" s="27"/>
      <c r="JB34" s="27"/>
      <c r="JC34" s="27"/>
      <c r="JD34" s="28"/>
    </row>
    <row r="35" spans="9:264" ht="7.5" customHeight="1" x14ac:dyDescent="0.25">
      <c r="I35" s="26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8"/>
      <c r="CS35" s="26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8"/>
      <c r="GC35" s="26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7"/>
      <c r="HN35" s="27"/>
      <c r="HO35" s="27"/>
      <c r="HP35" s="27"/>
      <c r="HQ35" s="27"/>
      <c r="HR35" s="27"/>
      <c r="HS35" s="27"/>
      <c r="HT35" s="27"/>
      <c r="HU35" s="27"/>
      <c r="HV35" s="27"/>
      <c r="HW35" s="27"/>
      <c r="HX35" s="27"/>
      <c r="HY35" s="27"/>
      <c r="HZ35" s="27"/>
      <c r="IA35" s="27"/>
      <c r="IB35" s="27"/>
      <c r="IC35" s="27"/>
      <c r="ID35" s="27"/>
      <c r="IE35" s="27"/>
      <c r="IF35" s="27"/>
      <c r="IG35" s="27"/>
      <c r="IH35" s="27"/>
      <c r="II35" s="27"/>
      <c r="IJ35" s="27"/>
      <c r="IK35" s="27"/>
      <c r="IL35" s="27"/>
      <c r="IM35" s="27"/>
      <c r="IN35" s="27"/>
      <c r="IO35" s="27"/>
      <c r="IP35" s="27"/>
      <c r="IQ35" s="27"/>
      <c r="IR35" s="27"/>
      <c r="IS35" s="27"/>
      <c r="IT35" s="27"/>
      <c r="IU35" s="27"/>
      <c r="IV35" s="27"/>
      <c r="IW35" s="27"/>
      <c r="IX35" s="27"/>
      <c r="IY35" s="27"/>
      <c r="IZ35" s="27"/>
      <c r="JA35" s="27"/>
      <c r="JB35" s="27"/>
      <c r="JC35" s="27"/>
      <c r="JD35" s="28"/>
    </row>
    <row r="36" spans="9:264" ht="7.5" customHeight="1" x14ac:dyDescent="0.25">
      <c r="I36" s="26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8"/>
      <c r="CS36" s="26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8"/>
      <c r="GC36" s="26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7"/>
      <c r="HN36" s="27"/>
      <c r="HO36" s="27"/>
      <c r="HP36" s="27"/>
      <c r="HQ36" s="27"/>
      <c r="HR36" s="27"/>
      <c r="HS36" s="27"/>
      <c r="HT36" s="27"/>
      <c r="HU36" s="27"/>
      <c r="HV36" s="27"/>
      <c r="HW36" s="27"/>
      <c r="HX36" s="27"/>
      <c r="HY36" s="27"/>
      <c r="HZ36" s="27"/>
      <c r="IA36" s="27"/>
      <c r="IB36" s="27"/>
      <c r="IC36" s="27"/>
      <c r="ID36" s="27"/>
      <c r="IE36" s="27"/>
      <c r="IF36" s="27"/>
      <c r="IG36" s="27"/>
      <c r="IH36" s="27"/>
      <c r="II36" s="27"/>
      <c r="IJ36" s="27"/>
      <c r="IK36" s="27"/>
      <c r="IL36" s="27"/>
      <c r="IM36" s="27"/>
      <c r="IN36" s="27"/>
      <c r="IO36" s="27"/>
      <c r="IP36" s="27"/>
      <c r="IQ36" s="27"/>
      <c r="IR36" s="27"/>
      <c r="IS36" s="27"/>
      <c r="IT36" s="27"/>
      <c r="IU36" s="27"/>
      <c r="IV36" s="27"/>
      <c r="IW36" s="27"/>
      <c r="IX36" s="27"/>
      <c r="IY36" s="27"/>
      <c r="IZ36" s="27"/>
      <c r="JA36" s="27"/>
      <c r="JB36" s="27"/>
      <c r="JC36" s="27"/>
      <c r="JD36" s="28"/>
    </row>
    <row r="37" spans="9:264" ht="7.5" customHeight="1" x14ac:dyDescent="0.25">
      <c r="I37" s="26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8"/>
      <c r="CS37" s="26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8"/>
      <c r="GC37" s="26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7"/>
      <c r="HN37" s="27"/>
      <c r="HO37" s="27"/>
      <c r="HP37" s="27"/>
      <c r="HQ37" s="27"/>
      <c r="HR37" s="27"/>
      <c r="HS37" s="27"/>
      <c r="HT37" s="27"/>
      <c r="HU37" s="27"/>
      <c r="HV37" s="27"/>
      <c r="HW37" s="27"/>
      <c r="HX37" s="27"/>
      <c r="HY37" s="27"/>
      <c r="HZ37" s="27"/>
      <c r="IA37" s="27"/>
      <c r="IB37" s="27"/>
      <c r="IC37" s="27"/>
      <c r="ID37" s="27"/>
      <c r="IE37" s="27"/>
      <c r="IF37" s="27"/>
      <c r="IG37" s="27"/>
      <c r="IH37" s="27"/>
      <c r="II37" s="27"/>
      <c r="IJ37" s="27"/>
      <c r="IK37" s="27"/>
      <c r="IL37" s="27"/>
      <c r="IM37" s="27"/>
      <c r="IN37" s="27"/>
      <c r="IO37" s="27"/>
      <c r="IP37" s="27"/>
      <c r="IQ37" s="27"/>
      <c r="IR37" s="27"/>
      <c r="IS37" s="27"/>
      <c r="IT37" s="27"/>
      <c r="IU37" s="27"/>
      <c r="IV37" s="27"/>
      <c r="IW37" s="27"/>
      <c r="IX37" s="27"/>
      <c r="IY37" s="27"/>
      <c r="IZ37" s="27"/>
      <c r="JA37" s="27"/>
      <c r="JB37" s="27"/>
      <c r="JC37" s="27"/>
      <c r="JD37" s="28"/>
    </row>
    <row r="38" spans="9:264" ht="7.5" customHeight="1" x14ac:dyDescent="0.25">
      <c r="I38" s="26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8"/>
      <c r="CS38" s="26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8"/>
      <c r="GC38" s="26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7"/>
      <c r="HN38" s="27"/>
      <c r="HO38" s="27"/>
      <c r="HP38" s="27"/>
      <c r="HQ38" s="27"/>
      <c r="HR38" s="27"/>
      <c r="HS38" s="27"/>
      <c r="HT38" s="27"/>
      <c r="HU38" s="27"/>
      <c r="HV38" s="27"/>
      <c r="HW38" s="27"/>
      <c r="HX38" s="27"/>
      <c r="HY38" s="27"/>
      <c r="HZ38" s="27"/>
      <c r="IA38" s="27"/>
      <c r="IB38" s="27"/>
      <c r="IC38" s="27"/>
      <c r="ID38" s="27"/>
      <c r="IE38" s="27"/>
      <c r="IF38" s="27"/>
      <c r="IG38" s="27"/>
      <c r="IH38" s="27"/>
      <c r="II38" s="27"/>
      <c r="IJ38" s="27"/>
      <c r="IK38" s="27"/>
      <c r="IL38" s="27"/>
      <c r="IM38" s="27"/>
      <c r="IN38" s="27"/>
      <c r="IO38" s="27"/>
      <c r="IP38" s="27"/>
      <c r="IQ38" s="27"/>
      <c r="IR38" s="27"/>
      <c r="IS38" s="27"/>
      <c r="IT38" s="27"/>
      <c r="IU38" s="27"/>
      <c r="IV38" s="27"/>
      <c r="IW38" s="27"/>
      <c r="IX38" s="27"/>
      <c r="IY38" s="27"/>
      <c r="IZ38" s="27"/>
      <c r="JA38" s="27"/>
      <c r="JB38" s="27"/>
      <c r="JC38" s="27"/>
      <c r="JD38" s="28"/>
    </row>
    <row r="39" spans="9:264" ht="7.5" customHeight="1" x14ac:dyDescent="0.25">
      <c r="I39" s="26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8"/>
      <c r="CS39" s="26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8"/>
      <c r="GC39" s="26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27"/>
      <c r="HU39" s="27"/>
      <c r="HV39" s="27"/>
      <c r="HW39" s="27"/>
      <c r="HX39" s="27"/>
      <c r="HY39" s="27"/>
      <c r="HZ39" s="27"/>
      <c r="IA39" s="27"/>
      <c r="IB39" s="27"/>
      <c r="IC39" s="27"/>
      <c r="ID39" s="27"/>
      <c r="IE39" s="27"/>
      <c r="IF39" s="27"/>
      <c r="IG39" s="27"/>
      <c r="IH39" s="27"/>
      <c r="II39" s="27"/>
      <c r="IJ39" s="27"/>
      <c r="IK39" s="27"/>
      <c r="IL39" s="27"/>
      <c r="IM39" s="27"/>
      <c r="IN39" s="27"/>
      <c r="IO39" s="27"/>
      <c r="IP39" s="27"/>
      <c r="IQ39" s="27"/>
      <c r="IR39" s="27"/>
      <c r="IS39" s="27"/>
      <c r="IT39" s="27"/>
      <c r="IU39" s="27"/>
      <c r="IV39" s="27"/>
      <c r="IW39" s="27"/>
      <c r="IX39" s="27"/>
      <c r="IY39" s="27"/>
      <c r="IZ39" s="27"/>
      <c r="JA39" s="27"/>
      <c r="JB39" s="27"/>
      <c r="JC39" s="27"/>
      <c r="JD39" s="28"/>
    </row>
    <row r="40" spans="9:264" ht="7.5" customHeight="1" x14ac:dyDescent="0.25">
      <c r="I40" s="26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8"/>
      <c r="CS40" s="26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8"/>
      <c r="GC40" s="26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27"/>
      <c r="HU40" s="27"/>
      <c r="HV40" s="27"/>
      <c r="HW40" s="27"/>
      <c r="HX40" s="27"/>
      <c r="HY40" s="27"/>
      <c r="HZ40" s="27"/>
      <c r="IA40" s="27"/>
      <c r="IB40" s="27"/>
      <c r="IC40" s="27"/>
      <c r="ID40" s="27"/>
      <c r="IE40" s="27"/>
      <c r="IF40" s="27"/>
      <c r="IG40" s="27"/>
      <c r="IH40" s="27"/>
      <c r="II40" s="27"/>
      <c r="IJ40" s="27"/>
      <c r="IK40" s="27"/>
      <c r="IL40" s="27"/>
      <c r="IM40" s="27"/>
      <c r="IN40" s="27"/>
      <c r="IO40" s="27"/>
      <c r="IP40" s="27"/>
      <c r="IQ40" s="27"/>
      <c r="IR40" s="27"/>
      <c r="IS40" s="27"/>
      <c r="IT40" s="27"/>
      <c r="IU40" s="27"/>
      <c r="IV40" s="27"/>
      <c r="IW40" s="27"/>
      <c r="IX40" s="27"/>
      <c r="IY40" s="27"/>
      <c r="IZ40" s="27"/>
      <c r="JA40" s="27"/>
      <c r="JB40" s="27"/>
      <c r="JC40" s="27"/>
      <c r="JD40" s="28"/>
    </row>
    <row r="41" spans="9:264" ht="7.5" customHeight="1" x14ac:dyDescent="0.25">
      <c r="I41" s="26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8"/>
      <c r="CS41" s="26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8"/>
      <c r="GC41" s="26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7"/>
      <c r="HN41" s="27"/>
      <c r="HO41" s="27"/>
      <c r="HP41" s="27"/>
      <c r="HQ41" s="27"/>
      <c r="HR41" s="27"/>
      <c r="HS41" s="27"/>
      <c r="HT41" s="27"/>
      <c r="HU41" s="27"/>
      <c r="HV41" s="27"/>
      <c r="HW41" s="27"/>
      <c r="HX41" s="27"/>
      <c r="HY41" s="27"/>
      <c r="HZ41" s="27"/>
      <c r="IA41" s="27"/>
      <c r="IB41" s="27"/>
      <c r="IC41" s="27"/>
      <c r="ID41" s="27"/>
      <c r="IE41" s="27"/>
      <c r="IF41" s="27"/>
      <c r="IG41" s="27"/>
      <c r="IH41" s="27"/>
      <c r="II41" s="27"/>
      <c r="IJ41" s="27"/>
      <c r="IK41" s="27"/>
      <c r="IL41" s="27"/>
      <c r="IM41" s="27"/>
      <c r="IN41" s="27"/>
      <c r="IO41" s="27"/>
      <c r="IP41" s="27"/>
      <c r="IQ41" s="27"/>
      <c r="IR41" s="27"/>
      <c r="IS41" s="27"/>
      <c r="IT41" s="27"/>
      <c r="IU41" s="27"/>
      <c r="IV41" s="27"/>
      <c r="IW41" s="27"/>
      <c r="IX41" s="27"/>
      <c r="IY41" s="27"/>
      <c r="IZ41" s="27"/>
      <c r="JA41" s="27"/>
      <c r="JB41" s="27"/>
      <c r="JC41" s="27"/>
      <c r="JD41" s="28"/>
    </row>
    <row r="42" spans="9:264" ht="7.5" customHeight="1" x14ac:dyDescent="0.25">
      <c r="I42" s="26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8"/>
      <c r="CS42" s="26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8"/>
      <c r="GC42" s="26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7"/>
      <c r="HN42" s="27"/>
      <c r="HO42" s="27"/>
      <c r="HP42" s="27"/>
      <c r="HQ42" s="27"/>
      <c r="HR42" s="27"/>
      <c r="HS42" s="27"/>
      <c r="HT42" s="27"/>
      <c r="HU42" s="27"/>
      <c r="HV42" s="27"/>
      <c r="HW42" s="27"/>
      <c r="HX42" s="27"/>
      <c r="HY42" s="27"/>
      <c r="HZ42" s="27"/>
      <c r="IA42" s="27"/>
      <c r="IB42" s="27"/>
      <c r="IC42" s="27"/>
      <c r="ID42" s="27"/>
      <c r="IE42" s="27"/>
      <c r="IF42" s="27"/>
      <c r="IG42" s="27"/>
      <c r="IH42" s="27"/>
      <c r="II42" s="27"/>
      <c r="IJ42" s="27"/>
      <c r="IK42" s="27"/>
      <c r="IL42" s="27"/>
      <c r="IM42" s="27"/>
      <c r="IN42" s="27"/>
      <c r="IO42" s="27"/>
      <c r="IP42" s="27"/>
      <c r="IQ42" s="27"/>
      <c r="IR42" s="27"/>
      <c r="IS42" s="27"/>
      <c r="IT42" s="27"/>
      <c r="IU42" s="27"/>
      <c r="IV42" s="27"/>
      <c r="IW42" s="27"/>
      <c r="IX42" s="27"/>
      <c r="IY42" s="27"/>
      <c r="IZ42" s="27"/>
      <c r="JA42" s="27"/>
      <c r="JB42" s="27"/>
      <c r="JC42" s="27"/>
      <c r="JD42" s="28"/>
    </row>
    <row r="43" spans="9:264" ht="7.5" customHeight="1" x14ac:dyDescent="0.25">
      <c r="I43" s="26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8"/>
      <c r="CS43" s="26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8"/>
      <c r="GC43" s="26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7"/>
      <c r="HN43" s="27"/>
      <c r="HO43" s="27"/>
      <c r="HP43" s="27"/>
      <c r="HQ43" s="27"/>
      <c r="HR43" s="27"/>
      <c r="HS43" s="27"/>
      <c r="HT43" s="27"/>
      <c r="HU43" s="27"/>
      <c r="HV43" s="27"/>
      <c r="HW43" s="27"/>
      <c r="HX43" s="27"/>
      <c r="HY43" s="27"/>
      <c r="HZ43" s="27"/>
      <c r="IA43" s="27"/>
      <c r="IB43" s="27"/>
      <c r="IC43" s="27"/>
      <c r="ID43" s="27"/>
      <c r="IE43" s="27"/>
      <c r="IF43" s="27"/>
      <c r="IG43" s="27"/>
      <c r="IH43" s="27"/>
      <c r="II43" s="27"/>
      <c r="IJ43" s="27"/>
      <c r="IK43" s="27"/>
      <c r="IL43" s="27"/>
      <c r="IM43" s="27"/>
      <c r="IN43" s="27"/>
      <c r="IO43" s="27"/>
      <c r="IP43" s="27"/>
      <c r="IQ43" s="27"/>
      <c r="IR43" s="27"/>
      <c r="IS43" s="27"/>
      <c r="IT43" s="27"/>
      <c r="IU43" s="27"/>
      <c r="IV43" s="27"/>
      <c r="IW43" s="27"/>
      <c r="IX43" s="27"/>
      <c r="IY43" s="27"/>
      <c r="IZ43" s="27"/>
      <c r="JA43" s="27"/>
      <c r="JB43" s="27"/>
      <c r="JC43" s="27"/>
      <c r="JD43" s="28"/>
    </row>
    <row r="44" spans="9:264" ht="7.5" customHeight="1" x14ac:dyDescent="0.25">
      <c r="I44" s="26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8"/>
      <c r="CS44" s="26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8"/>
      <c r="GC44" s="26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7"/>
      <c r="HN44" s="27"/>
      <c r="HO44" s="27"/>
      <c r="HP44" s="27"/>
      <c r="HQ44" s="27"/>
      <c r="HR44" s="27"/>
      <c r="HS44" s="27"/>
      <c r="HT44" s="27"/>
      <c r="HU44" s="27"/>
      <c r="HV44" s="27"/>
      <c r="HW44" s="27"/>
      <c r="HX44" s="27"/>
      <c r="HY44" s="27"/>
      <c r="HZ44" s="27"/>
      <c r="IA44" s="27"/>
      <c r="IB44" s="27"/>
      <c r="IC44" s="27"/>
      <c r="ID44" s="27"/>
      <c r="IE44" s="27"/>
      <c r="IF44" s="27"/>
      <c r="IG44" s="27"/>
      <c r="IH44" s="27"/>
      <c r="II44" s="27"/>
      <c r="IJ44" s="27"/>
      <c r="IK44" s="27"/>
      <c r="IL44" s="27"/>
      <c r="IM44" s="27"/>
      <c r="IN44" s="27"/>
      <c r="IO44" s="27"/>
      <c r="IP44" s="27"/>
      <c r="IQ44" s="27"/>
      <c r="IR44" s="27"/>
      <c r="IS44" s="27"/>
      <c r="IT44" s="27"/>
      <c r="IU44" s="27"/>
      <c r="IV44" s="27"/>
      <c r="IW44" s="27"/>
      <c r="IX44" s="27"/>
      <c r="IY44" s="27"/>
      <c r="IZ44" s="27"/>
      <c r="JA44" s="27"/>
      <c r="JB44" s="27"/>
      <c r="JC44" s="27"/>
      <c r="JD44" s="28"/>
    </row>
    <row r="45" spans="9:264" ht="7.5" customHeight="1" x14ac:dyDescent="0.25">
      <c r="I45" s="26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8"/>
      <c r="CS45" s="26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8"/>
      <c r="GC45" s="26"/>
      <c r="GD45" s="27"/>
      <c r="GE45" s="27"/>
      <c r="GF45" s="27"/>
      <c r="GG45" s="27"/>
      <c r="GH45" s="27"/>
      <c r="GI45" s="27"/>
      <c r="GJ45" s="27"/>
      <c r="GK45" s="27"/>
      <c r="GL45" s="27"/>
      <c r="GM45" s="27"/>
      <c r="GN45" s="27"/>
      <c r="GO45" s="27"/>
      <c r="GP45" s="27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7"/>
      <c r="HN45" s="27"/>
      <c r="HO45" s="27"/>
      <c r="HP45" s="27"/>
      <c r="HQ45" s="27"/>
      <c r="HR45" s="27"/>
      <c r="HS45" s="27"/>
      <c r="HT45" s="27"/>
      <c r="HU45" s="27"/>
      <c r="HV45" s="27"/>
      <c r="HW45" s="27"/>
      <c r="HX45" s="27"/>
      <c r="HY45" s="27"/>
      <c r="HZ45" s="27"/>
      <c r="IA45" s="27"/>
      <c r="IB45" s="27"/>
      <c r="IC45" s="27"/>
      <c r="ID45" s="27"/>
      <c r="IE45" s="27"/>
      <c r="IF45" s="27"/>
      <c r="IG45" s="27"/>
      <c r="IH45" s="27"/>
      <c r="II45" s="27"/>
      <c r="IJ45" s="27"/>
      <c r="IK45" s="27"/>
      <c r="IL45" s="27"/>
      <c r="IM45" s="27"/>
      <c r="IN45" s="27"/>
      <c r="IO45" s="27"/>
      <c r="IP45" s="27"/>
      <c r="IQ45" s="27"/>
      <c r="IR45" s="27"/>
      <c r="IS45" s="27"/>
      <c r="IT45" s="27"/>
      <c r="IU45" s="27"/>
      <c r="IV45" s="27"/>
      <c r="IW45" s="27"/>
      <c r="IX45" s="27"/>
      <c r="IY45" s="27"/>
      <c r="IZ45" s="27"/>
      <c r="JA45" s="27"/>
      <c r="JB45" s="27"/>
      <c r="JC45" s="27"/>
      <c r="JD45" s="28"/>
    </row>
    <row r="46" spans="9:264" ht="7.5" customHeight="1" x14ac:dyDescent="0.25">
      <c r="I46" s="26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8"/>
      <c r="CS46" s="26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8"/>
      <c r="GC46" s="26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7"/>
      <c r="HN46" s="27"/>
      <c r="HO46" s="27"/>
      <c r="HP46" s="27"/>
      <c r="HQ46" s="27"/>
      <c r="HR46" s="27"/>
      <c r="HS46" s="27"/>
      <c r="HT46" s="27"/>
      <c r="HU46" s="27"/>
      <c r="HV46" s="27"/>
      <c r="HW46" s="27"/>
      <c r="HX46" s="27"/>
      <c r="HY46" s="27"/>
      <c r="HZ46" s="27"/>
      <c r="IA46" s="27"/>
      <c r="IB46" s="27"/>
      <c r="IC46" s="27"/>
      <c r="ID46" s="27"/>
      <c r="IE46" s="27"/>
      <c r="IF46" s="27"/>
      <c r="IG46" s="27"/>
      <c r="IH46" s="27"/>
      <c r="II46" s="27"/>
      <c r="IJ46" s="27"/>
      <c r="IK46" s="27"/>
      <c r="IL46" s="27"/>
      <c r="IM46" s="27"/>
      <c r="IN46" s="27"/>
      <c r="IO46" s="27"/>
      <c r="IP46" s="27"/>
      <c r="IQ46" s="27"/>
      <c r="IR46" s="27"/>
      <c r="IS46" s="27"/>
      <c r="IT46" s="27"/>
      <c r="IU46" s="27"/>
      <c r="IV46" s="27"/>
      <c r="IW46" s="27"/>
      <c r="IX46" s="27"/>
      <c r="IY46" s="27"/>
      <c r="IZ46" s="27"/>
      <c r="JA46" s="27"/>
      <c r="JB46" s="27"/>
      <c r="JC46" s="27"/>
      <c r="JD46" s="28"/>
    </row>
    <row r="47" spans="9:264" ht="7.5" customHeight="1" x14ac:dyDescent="0.25">
      <c r="I47" s="26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8"/>
      <c r="CS47" s="26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8"/>
      <c r="GC47" s="26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7"/>
      <c r="HN47" s="27"/>
      <c r="HO47" s="27"/>
      <c r="HP47" s="27"/>
      <c r="HQ47" s="27"/>
      <c r="HR47" s="27"/>
      <c r="HS47" s="27"/>
      <c r="HT47" s="27"/>
      <c r="HU47" s="27"/>
      <c r="HV47" s="27"/>
      <c r="HW47" s="27"/>
      <c r="HX47" s="27"/>
      <c r="HY47" s="27"/>
      <c r="HZ47" s="27"/>
      <c r="IA47" s="27"/>
      <c r="IB47" s="27"/>
      <c r="IC47" s="27"/>
      <c r="ID47" s="27"/>
      <c r="IE47" s="27"/>
      <c r="IF47" s="27"/>
      <c r="IG47" s="27"/>
      <c r="IH47" s="27"/>
      <c r="II47" s="27"/>
      <c r="IJ47" s="27"/>
      <c r="IK47" s="27"/>
      <c r="IL47" s="27"/>
      <c r="IM47" s="27"/>
      <c r="IN47" s="27"/>
      <c r="IO47" s="27"/>
      <c r="IP47" s="27"/>
      <c r="IQ47" s="27"/>
      <c r="IR47" s="27"/>
      <c r="IS47" s="27"/>
      <c r="IT47" s="27"/>
      <c r="IU47" s="27"/>
      <c r="IV47" s="27"/>
      <c r="IW47" s="27"/>
      <c r="IX47" s="27"/>
      <c r="IY47" s="27"/>
      <c r="IZ47" s="27"/>
      <c r="JA47" s="27"/>
      <c r="JB47" s="27"/>
      <c r="JC47" s="27"/>
      <c r="JD47" s="28"/>
    </row>
    <row r="48" spans="9:264" ht="7.5" customHeight="1" x14ac:dyDescent="0.25">
      <c r="I48" s="26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8"/>
      <c r="CS48" s="26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  <c r="EQ48" s="27"/>
      <c r="ER48" s="27"/>
      <c r="ES48" s="27"/>
      <c r="ET48" s="27"/>
      <c r="EU48" s="27"/>
      <c r="EV48" s="27"/>
      <c r="EW48" s="27"/>
      <c r="EX48" s="27"/>
      <c r="EY48" s="27"/>
      <c r="EZ48" s="27"/>
      <c r="FA48" s="27"/>
      <c r="FB48" s="27"/>
      <c r="FC48" s="27"/>
      <c r="FD48" s="27"/>
      <c r="FE48" s="27"/>
      <c r="FF48" s="27"/>
      <c r="FG48" s="27"/>
      <c r="FH48" s="27"/>
      <c r="FI48" s="27"/>
      <c r="FJ48" s="27"/>
      <c r="FK48" s="27"/>
      <c r="FL48" s="27"/>
      <c r="FM48" s="27"/>
      <c r="FN48" s="27"/>
      <c r="FO48" s="27"/>
      <c r="FP48" s="27"/>
      <c r="FQ48" s="27"/>
      <c r="FR48" s="27"/>
      <c r="FS48" s="27"/>
      <c r="FT48" s="28"/>
      <c r="GC48" s="26"/>
      <c r="GD48" s="27"/>
      <c r="GE48" s="27"/>
      <c r="GF48" s="27"/>
      <c r="GG48" s="27"/>
      <c r="GH48" s="27"/>
      <c r="GI48" s="27"/>
      <c r="GJ48" s="27"/>
      <c r="GK48" s="27"/>
      <c r="GL48" s="27"/>
      <c r="GM48" s="27"/>
      <c r="GN48" s="27"/>
      <c r="GO48" s="27"/>
      <c r="GP48" s="27"/>
      <c r="GQ48" s="27"/>
      <c r="GR48" s="27"/>
      <c r="GS48" s="27"/>
      <c r="GT48" s="27"/>
      <c r="GU48" s="27"/>
      <c r="GV48" s="27"/>
      <c r="GW48" s="27"/>
      <c r="GX48" s="27"/>
      <c r="GY48" s="27"/>
      <c r="GZ48" s="27"/>
      <c r="HA48" s="27"/>
      <c r="HB48" s="27"/>
      <c r="HC48" s="27"/>
      <c r="HD48" s="27"/>
      <c r="HE48" s="27"/>
      <c r="HF48" s="27"/>
      <c r="HG48" s="27"/>
      <c r="HH48" s="27"/>
      <c r="HI48" s="27"/>
      <c r="HJ48" s="27"/>
      <c r="HK48" s="27"/>
      <c r="HL48" s="27"/>
      <c r="HM48" s="27"/>
      <c r="HN48" s="27"/>
      <c r="HO48" s="27"/>
      <c r="HP48" s="27"/>
      <c r="HQ48" s="27"/>
      <c r="HR48" s="27"/>
      <c r="HS48" s="27"/>
      <c r="HT48" s="27"/>
      <c r="HU48" s="27"/>
      <c r="HV48" s="27"/>
      <c r="HW48" s="27"/>
      <c r="HX48" s="27"/>
      <c r="HY48" s="27"/>
      <c r="HZ48" s="27"/>
      <c r="IA48" s="27"/>
      <c r="IB48" s="27"/>
      <c r="IC48" s="27"/>
      <c r="ID48" s="27"/>
      <c r="IE48" s="27"/>
      <c r="IF48" s="27"/>
      <c r="IG48" s="27"/>
      <c r="IH48" s="27"/>
      <c r="II48" s="27"/>
      <c r="IJ48" s="27"/>
      <c r="IK48" s="27"/>
      <c r="IL48" s="27"/>
      <c r="IM48" s="27"/>
      <c r="IN48" s="27"/>
      <c r="IO48" s="27"/>
      <c r="IP48" s="27"/>
      <c r="IQ48" s="27"/>
      <c r="IR48" s="27"/>
      <c r="IS48" s="27"/>
      <c r="IT48" s="27"/>
      <c r="IU48" s="27"/>
      <c r="IV48" s="27"/>
      <c r="IW48" s="27"/>
      <c r="IX48" s="27"/>
      <c r="IY48" s="27"/>
      <c r="IZ48" s="27"/>
      <c r="JA48" s="27"/>
      <c r="JB48" s="27"/>
      <c r="JC48" s="27"/>
      <c r="JD48" s="28"/>
    </row>
    <row r="49" spans="9:264" ht="7.5" customHeight="1" x14ac:dyDescent="0.25">
      <c r="I49" s="26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8"/>
      <c r="CS49" s="26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  <c r="EQ49" s="27"/>
      <c r="ER49" s="27"/>
      <c r="ES49" s="27"/>
      <c r="ET49" s="27"/>
      <c r="EU49" s="27"/>
      <c r="EV49" s="27"/>
      <c r="EW49" s="27"/>
      <c r="EX49" s="27"/>
      <c r="EY49" s="27"/>
      <c r="EZ49" s="27"/>
      <c r="FA49" s="27"/>
      <c r="FB49" s="27"/>
      <c r="FC49" s="27"/>
      <c r="FD49" s="27"/>
      <c r="FE49" s="27"/>
      <c r="FF49" s="27"/>
      <c r="FG49" s="27"/>
      <c r="FH49" s="27"/>
      <c r="FI49" s="27"/>
      <c r="FJ49" s="27"/>
      <c r="FK49" s="27"/>
      <c r="FL49" s="27"/>
      <c r="FM49" s="27"/>
      <c r="FN49" s="27"/>
      <c r="FO49" s="27"/>
      <c r="FP49" s="27"/>
      <c r="FQ49" s="27"/>
      <c r="FR49" s="27"/>
      <c r="FS49" s="27"/>
      <c r="FT49" s="28"/>
      <c r="GC49" s="26"/>
      <c r="GD49" s="27"/>
      <c r="GE49" s="27"/>
      <c r="GF49" s="27"/>
      <c r="GG49" s="27"/>
      <c r="GH49" s="27"/>
      <c r="GI49" s="27"/>
      <c r="GJ49" s="27"/>
      <c r="GK49" s="27"/>
      <c r="GL49" s="27"/>
      <c r="GM49" s="27"/>
      <c r="GN49" s="27"/>
      <c r="GO49" s="27"/>
      <c r="GP49" s="27"/>
      <c r="GQ49" s="27"/>
      <c r="GR49" s="27"/>
      <c r="GS49" s="27"/>
      <c r="GT49" s="27"/>
      <c r="GU49" s="27"/>
      <c r="GV49" s="27"/>
      <c r="GW49" s="27"/>
      <c r="GX49" s="27"/>
      <c r="GY49" s="27"/>
      <c r="GZ49" s="27"/>
      <c r="HA49" s="27"/>
      <c r="HB49" s="27"/>
      <c r="HC49" s="27"/>
      <c r="HD49" s="27"/>
      <c r="HE49" s="27"/>
      <c r="HF49" s="27"/>
      <c r="HG49" s="27"/>
      <c r="HH49" s="27"/>
      <c r="HI49" s="27"/>
      <c r="HJ49" s="27"/>
      <c r="HK49" s="27"/>
      <c r="HL49" s="27"/>
      <c r="HM49" s="27"/>
      <c r="HN49" s="27"/>
      <c r="HO49" s="27"/>
      <c r="HP49" s="27"/>
      <c r="HQ49" s="27"/>
      <c r="HR49" s="27"/>
      <c r="HS49" s="27"/>
      <c r="HT49" s="27"/>
      <c r="HU49" s="27"/>
      <c r="HV49" s="27"/>
      <c r="HW49" s="27"/>
      <c r="HX49" s="27"/>
      <c r="HY49" s="27"/>
      <c r="HZ49" s="27"/>
      <c r="IA49" s="27"/>
      <c r="IB49" s="27"/>
      <c r="IC49" s="27"/>
      <c r="ID49" s="27"/>
      <c r="IE49" s="27"/>
      <c r="IF49" s="27"/>
      <c r="IG49" s="27"/>
      <c r="IH49" s="27"/>
      <c r="II49" s="27"/>
      <c r="IJ49" s="27"/>
      <c r="IK49" s="27"/>
      <c r="IL49" s="27"/>
      <c r="IM49" s="27"/>
      <c r="IN49" s="27"/>
      <c r="IO49" s="27"/>
      <c r="IP49" s="27"/>
      <c r="IQ49" s="27"/>
      <c r="IR49" s="27"/>
      <c r="IS49" s="27"/>
      <c r="IT49" s="27"/>
      <c r="IU49" s="27"/>
      <c r="IV49" s="27"/>
      <c r="IW49" s="27"/>
      <c r="IX49" s="27"/>
      <c r="IY49" s="27"/>
      <c r="IZ49" s="27"/>
      <c r="JA49" s="27"/>
      <c r="JB49" s="27"/>
      <c r="JC49" s="27"/>
      <c r="JD49" s="28"/>
    </row>
    <row r="50" spans="9:264" ht="7.5" customHeight="1" x14ac:dyDescent="0.25">
      <c r="I50" s="26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8"/>
      <c r="CS50" s="26"/>
      <c r="CT50" s="27"/>
      <c r="CU50" s="27"/>
      <c r="CV50" s="27"/>
      <c r="CW50" s="27"/>
      <c r="CX50" s="27"/>
      <c r="CY50" s="27"/>
      <c r="CZ50" s="27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7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  <c r="EO50" s="27"/>
      <c r="EP50" s="27"/>
      <c r="EQ50" s="27"/>
      <c r="ER50" s="27"/>
      <c r="ES50" s="27"/>
      <c r="ET50" s="27"/>
      <c r="EU50" s="27"/>
      <c r="EV50" s="27"/>
      <c r="EW50" s="27"/>
      <c r="EX50" s="27"/>
      <c r="EY50" s="27"/>
      <c r="EZ50" s="27"/>
      <c r="FA50" s="27"/>
      <c r="FB50" s="27"/>
      <c r="FC50" s="27"/>
      <c r="FD50" s="27"/>
      <c r="FE50" s="27"/>
      <c r="FF50" s="27"/>
      <c r="FG50" s="27"/>
      <c r="FH50" s="27"/>
      <c r="FI50" s="27"/>
      <c r="FJ50" s="27"/>
      <c r="FK50" s="27"/>
      <c r="FL50" s="27"/>
      <c r="FM50" s="27"/>
      <c r="FN50" s="27"/>
      <c r="FO50" s="27"/>
      <c r="FP50" s="27"/>
      <c r="FQ50" s="27"/>
      <c r="FR50" s="27"/>
      <c r="FS50" s="27"/>
      <c r="FT50" s="28"/>
      <c r="GC50" s="26"/>
      <c r="GD50" s="27"/>
      <c r="GE50" s="27"/>
      <c r="GF50" s="27"/>
      <c r="GG50" s="27"/>
      <c r="GH50" s="27"/>
      <c r="GI50" s="27"/>
      <c r="GJ50" s="27"/>
      <c r="GK50" s="27"/>
      <c r="GL50" s="27"/>
      <c r="GM50" s="27"/>
      <c r="GN50" s="27"/>
      <c r="GO50" s="27"/>
      <c r="GP50" s="27"/>
      <c r="GQ50" s="27"/>
      <c r="GR50" s="27"/>
      <c r="GS50" s="27"/>
      <c r="GT50" s="27"/>
      <c r="GU50" s="27"/>
      <c r="GV50" s="27"/>
      <c r="GW50" s="27"/>
      <c r="GX50" s="27"/>
      <c r="GY50" s="27"/>
      <c r="GZ50" s="27"/>
      <c r="HA50" s="27"/>
      <c r="HB50" s="27"/>
      <c r="HC50" s="27"/>
      <c r="HD50" s="27"/>
      <c r="HE50" s="27"/>
      <c r="HF50" s="27"/>
      <c r="HG50" s="27"/>
      <c r="HH50" s="27"/>
      <c r="HI50" s="27"/>
      <c r="HJ50" s="27"/>
      <c r="HK50" s="27"/>
      <c r="HL50" s="27"/>
      <c r="HM50" s="27"/>
      <c r="HN50" s="27"/>
      <c r="HO50" s="27"/>
      <c r="HP50" s="27"/>
      <c r="HQ50" s="27"/>
      <c r="HR50" s="27"/>
      <c r="HS50" s="27"/>
      <c r="HT50" s="27"/>
      <c r="HU50" s="27"/>
      <c r="HV50" s="27"/>
      <c r="HW50" s="27"/>
      <c r="HX50" s="27"/>
      <c r="HY50" s="27"/>
      <c r="HZ50" s="27"/>
      <c r="IA50" s="27"/>
      <c r="IB50" s="27"/>
      <c r="IC50" s="27"/>
      <c r="ID50" s="27"/>
      <c r="IE50" s="27"/>
      <c r="IF50" s="27"/>
      <c r="IG50" s="27"/>
      <c r="IH50" s="27"/>
      <c r="II50" s="27"/>
      <c r="IJ50" s="27"/>
      <c r="IK50" s="27"/>
      <c r="IL50" s="27"/>
      <c r="IM50" s="27"/>
      <c r="IN50" s="27"/>
      <c r="IO50" s="27"/>
      <c r="IP50" s="27"/>
      <c r="IQ50" s="27"/>
      <c r="IR50" s="27"/>
      <c r="IS50" s="27"/>
      <c r="IT50" s="27"/>
      <c r="IU50" s="27"/>
      <c r="IV50" s="27"/>
      <c r="IW50" s="27"/>
      <c r="IX50" s="27"/>
      <c r="IY50" s="27"/>
      <c r="IZ50" s="27"/>
      <c r="JA50" s="27"/>
      <c r="JB50" s="27"/>
      <c r="JC50" s="27"/>
      <c r="JD50" s="28"/>
    </row>
    <row r="51" spans="9:264" ht="7.5" customHeight="1" x14ac:dyDescent="0.25">
      <c r="I51" s="26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8"/>
      <c r="CS51" s="26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7"/>
      <c r="EU51" s="27"/>
      <c r="EV51" s="27"/>
      <c r="EW51" s="27"/>
      <c r="EX51" s="27"/>
      <c r="EY51" s="27"/>
      <c r="EZ51" s="27"/>
      <c r="FA51" s="27"/>
      <c r="FB51" s="27"/>
      <c r="FC51" s="27"/>
      <c r="FD51" s="27"/>
      <c r="FE51" s="27"/>
      <c r="FF51" s="27"/>
      <c r="FG51" s="27"/>
      <c r="FH51" s="27"/>
      <c r="FI51" s="27"/>
      <c r="FJ51" s="27"/>
      <c r="FK51" s="27"/>
      <c r="FL51" s="27"/>
      <c r="FM51" s="27"/>
      <c r="FN51" s="27"/>
      <c r="FO51" s="27"/>
      <c r="FP51" s="27"/>
      <c r="FQ51" s="27"/>
      <c r="FR51" s="27"/>
      <c r="FS51" s="27"/>
      <c r="FT51" s="28"/>
      <c r="GC51" s="26"/>
      <c r="GD51" s="27"/>
      <c r="GE51" s="27"/>
      <c r="GF51" s="27"/>
      <c r="GG51" s="27"/>
      <c r="GH51" s="27"/>
      <c r="GI51" s="27"/>
      <c r="GJ51" s="27"/>
      <c r="GK51" s="27"/>
      <c r="GL51" s="27"/>
      <c r="GM51" s="27"/>
      <c r="GN51" s="27"/>
      <c r="GO51" s="27"/>
      <c r="GP51" s="27"/>
      <c r="GQ51" s="27"/>
      <c r="GR51" s="27"/>
      <c r="GS51" s="27"/>
      <c r="GT51" s="27"/>
      <c r="GU51" s="27"/>
      <c r="GV51" s="27"/>
      <c r="GW51" s="27"/>
      <c r="GX51" s="27"/>
      <c r="GY51" s="27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  <c r="IA51" s="27"/>
      <c r="IB51" s="27"/>
      <c r="IC51" s="27"/>
      <c r="ID51" s="27"/>
      <c r="IE51" s="27"/>
      <c r="IF51" s="27"/>
      <c r="IG51" s="27"/>
      <c r="IH51" s="27"/>
      <c r="II51" s="27"/>
      <c r="IJ51" s="27"/>
      <c r="IK51" s="27"/>
      <c r="IL51" s="27"/>
      <c r="IM51" s="27"/>
      <c r="IN51" s="27"/>
      <c r="IO51" s="27"/>
      <c r="IP51" s="27"/>
      <c r="IQ51" s="27"/>
      <c r="IR51" s="27"/>
      <c r="IS51" s="27"/>
      <c r="IT51" s="27"/>
      <c r="IU51" s="27"/>
      <c r="IV51" s="27"/>
      <c r="IW51" s="27"/>
      <c r="IX51" s="27"/>
      <c r="IY51" s="27"/>
      <c r="IZ51" s="27"/>
      <c r="JA51" s="27"/>
      <c r="JB51" s="27"/>
      <c r="JC51" s="27"/>
      <c r="JD51" s="28"/>
    </row>
    <row r="52" spans="9:264" ht="7.5" customHeight="1" x14ac:dyDescent="0.25">
      <c r="I52" s="26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8"/>
      <c r="CS52" s="26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  <c r="EQ52" s="27"/>
      <c r="ER52" s="27"/>
      <c r="ES52" s="27"/>
      <c r="ET52" s="27"/>
      <c r="EU52" s="27"/>
      <c r="EV52" s="27"/>
      <c r="EW52" s="27"/>
      <c r="EX52" s="27"/>
      <c r="EY52" s="27"/>
      <c r="EZ52" s="27"/>
      <c r="FA52" s="27"/>
      <c r="FB52" s="27"/>
      <c r="FC52" s="27"/>
      <c r="FD52" s="27"/>
      <c r="FE52" s="27"/>
      <c r="FF52" s="27"/>
      <c r="FG52" s="27"/>
      <c r="FH52" s="27"/>
      <c r="FI52" s="27"/>
      <c r="FJ52" s="27"/>
      <c r="FK52" s="27"/>
      <c r="FL52" s="27"/>
      <c r="FM52" s="27"/>
      <c r="FN52" s="27"/>
      <c r="FO52" s="27"/>
      <c r="FP52" s="27"/>
      <c r="FQ52" s="27"/>
      <c r="FR52" s="27"/>
      <c r="FS52" s="27"/>
      <c r="FT52" s="28"/>
      <c r="GC52" s="26"/>
      <c r="GD52" s="27"/>
      <c r="GE52" s="27"/>
      <c r="GF52" s="27"/>
      <c r="GG52" s="27"/>
      <c r="GH52" s="27"/>
      <c r="GI52" s="27"/>
      <c r="GJ52" s="27"/>
      <c r="GK52" s="27"/>
      <c r="GL52" s="27"/>
      <c r="GM52" s="27"/>
      <c r="GN52" s="27"/>
      <c r="GO52" s="27"/>
      <c r="GP52" s="27"/>
      <c r="GQ52" s="27"/>
      <c r="GR52" s="27"/>
      <c r="GS52" s="27"/>
      <c r="GT52" s="27"/>
      <c r="GU52" s="27"/>
      <c r="GV52" s="27"/>
      <c r="GW52" s="27"/>
      <c r="GX52" s="27"/>
      <c r="GY52" s="27"/>
      <c r="GZ52" s="27"/>
      <c r="HA52" s="27"/>
      <c r="HB52" s="27"/>
      <c r="HC52" s="27"/>
      <c r="HD52" s="27"/>
      <c r="HE52" s="27"/>
      <c r="HF52" s="27"/>
      <c r="HG52" s="27"/>
      <c r="HH52" s="27"/>
      <c r="HI52" s="27"/>
      <c r="HJ52" s="27"/>
      <c r="HK52" s="27"/>
      <c r="HL52" s="27"/>
      <c r="HM52" s="27"/>
      <c r="HN52" s="27"/>
      <c r="HO52" s="27"/>
      <c r="HP52" s="27"/>
      <c r="HQ52" s="27"/>
      <c r="HR52" s="27"/>
      <c r="HS52" s="27"/>
      <c r="HT52" s="27"/>
      <c r="HU52" s="27"/>
      <c r="HV52" s="27"/>
      <c r="HW52" s="27"/>
      <c r="HX52" s="27"/>
      <c r="HY52" s="27"/>
      <c r="HZ52" s="27"/>
      <c r="IA52" s="27"/>
      <c r="IB52" s="27"/>
      <c r="IC52" s="27"/>
      <c r="ID52" s="27"/>
      <c r="IE52" s="27"/>
      <c r="IF52" s="27"/>
      <c r="IG52" s="27"/>
      <c r="IH52" s="27"/>
      <c r="II52" s="27"/>
      <c r="IJ52" s="27"/>
      <c r="IK52" s="27"/>
      <c r="IL52" s="27"/>
      <c r="IM52" s="27"/>
      <c r="IN52" s="27"/>
      <c r="IO52" s="27"/>
      <c r="IP52" s="27"/>
      <c r="IQ52" s="27"/>
      <c r="IR52" s="27"/>
      <c r="IS52" s="27"/>
      <c r="IT52" s="27"/>
      <c r="IU52" s="27"/>
      <c r="IV52" s="27"/>
      <c r="IW52" s="27"/>
      <c r="IX52" s="27"/>
      <c r="IY52" s="27"/>
      <c r="IZ52" s="27"/>
      <c r="JA52" s="27"/>
      <c r="JB52" s="27"/>
      <c r="JC52" s="27"/>
      <c r="JD52" s="28"/>
    </row>
    <row r="53" spans="9:264" ht="7.5" customHeight="1" x14ac:dyDescent="0.25">
      <c r="I53" s="29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1"/>
      <c r="CS53" s="29"/>
      <c r="CT53" s="30"/>
      <c r="CU53" s="30"/>
      <c r="CV53" s="30"/>
      <c r="CW53" s="30"/>
      <c r="CX53" s="30"/>
      <c r="CY53" s="30"/>
      <c r="CZ53" s="30"/>
      <c r="DA53" s="30"/>
      <c r="DB53" s="30"/>
      <c r="DC53" s="30"/>
      <c r="DD53" s="30"/>
      <c r="DE53" s="30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  <c r="DR53" s="30"/>
      <c r="DS53" s="30"/>
      <c r="DT53" s="30"/>
      <c r="DU53" s="30"/>
      <c r="DV53" s="30"/>
      <c r="DW53" s="30"/>
      <c r="DX53" s="30"/>
      <c r="DY53" s="30"/>
      <c r="DZ53" s="30"/>
      <c r="EA53" s="30"/>
      <c r="EB53" s="30"/>
      <c r="EC53" s="30"/>
      <c r="ED53" s="30"/>
      <c r="EE53" s="30"/>
      <c r="EF53" s="30"/>
      <c r="EG53" s="30"/>
      <c r="EH53" s="30"/>
      <c r="EI53" s="30"/>
      <c r="EJ53" s="30"/>
      <c r="EK53" s="30"/>
      <c r="EL53" s="30"/>
      <c r="EM53" s="30"/>
      <c r="EN53" s="30"/>
      <c r="EO53" s="30"/>
      <c r="EP53" s="30"/>
      <c r="EQ53" s="30"/>
      <c r="ER53" s="30"/>
      <c r="ES53" s="30"/>
      <c r="ET53" s="30"/>
      <c r="EU53" s="30"/>
      <c r="EV53" s="30"/>
      <c r="EW53" s="30"/>
      <c r="EX53" s="30"/>
      <c r="EY53" s="30"/>
      <c r="EZ53" s="30"/>
      <c r="FA53" s="30"/>
      <c r="FB53" s="30"/>
      <c r="FC53" s="30"/>
      <c r="FD53" s="30"/>
      <c r="FE53" s="30"/>
      <c r="FF53" s="30"/>
      <c r="FG53" s="30"/>
      <c r="FH53" s="30"/>
      <c r="FI53" s="30"/>
      <c r="FJ53" s="30"/>
      <c r="FK53" s="30"/>
      <c r="FL53" s="30"/>
      <c r="FM53" s="30"/>
      <c r="FN53" s="30"/>
      <c r="FO53" s="30"/>
      <c r="FP53" s="30"/>
      <c r="FQ53" s="30"/>
      <c r="FR53" s="30"/>
      <c r="FS53" s="30"/>
      <c r="FT53" s="31"/>
      <c r="GC53" s="29"/>
      <c r="GD53" s="30"/>
      <c r="GE53" s="30"/>
      <c r="GF53" s="30"/>
      <c r="GG53" s="30"/>
      <c r="GH53" s="30"/>
      <c r="GI53" s="30"/>
      <c r="GJ53" s="30"/>
      <c r="GK53" s="30"/>
      <c r="GL53" s="30"/>
      <c r="GM53" s="30"/>
      <c r="GN53" s="30"/>
      <c r="GO53" s="30"/>
      <c r="GP53" s="30"/>
      <c r="GQ53" s="30"/>
      <c r="GR53" s="30"/>
      <c r="GS53" s="30"/>
      <c r="GT53" s="30"/>
      <c r="GU53" s="30"/>
      <c r="GV53" s="30"/>
      <c r="GW53" s="30"/>
      <c r="GX53" s="30"/>
      <c r="GY53" s="30"/>
      <c r="GZ53" s="30"/>
      <c r="HA53" s="30"/>
      <c r="HB53" s="30"/>
      <c r="HC53" s="30"/>
      <c r="HD53" s="30"/>
      <c r="HE53" s="30"/>
      <c r="HF53" s="30"/>
      <c r="HG53" s="30"/>
      <c r="HH53" s="30"/>
      <c r="HI53" s="30"/>
      <c r="HJ53" s="30"/>
      <c r="HK53" s="30"/>
      <c r="HL53" s="30"/>
      <c r="HM53" s="30"/>
      <c r="HN53" s="30"/>
      <c r="HO53" s="30"/>
      <c r="HP53" s="30"/>
      <c r="HQ53" s="30"/>
      <c r="HR53" s="30"/>
      <c r="HS53" s="30"/>
      <c r="HT53" s="30"/>
      <c r="HU53" s="30"/>
      <c r="HV53" s="30"/>
      <c r="HW53" s="30"/>
      <c r="HX53" s="30"/>
      <c r="HY53" s="30"/>
      <c r="HZ53" s="30"/>
      <c r="IA53" s="30"/>
      <c r="IB53" s="30"/>
      <c r="IC53" s="30"/>
      <c r="ID53" s="30"/>
      <c r="IE53" s="30"/>
      <c r="IF53" s="30"/>
      <c r="IG53" s="30"/>
      <c r="IH53" s="30"/>
      <c r="II53" s="30"/>
      <c r="IJ53" s="30"/>
      <c r="IK53" s="30"/>
      <c r="IL53" s="30"/>
      <c r="IM53" s="30"/>
      <c r="IN53" s="30"/>
      <c r="IO53" s="30"/>
      <c r="IP53" s="30"/>
      <c r="IQ53" s="30"/>
      <c r="IR53" s="30"/>
      <c r="IS53" s="30"/>
      <c r="IT53" s="30"/>
      <c r="IU53" s="30"/>
      <c r="IV53" s="30"/>
      <c r="IW53" s="30"/>
      <c r="IX53" s="30"/>
      <c r="IY53" s="30"/>
      <c r="IZ53" s="30"/>
      <c r="JA53" s="30"/>
      <c r="JB53" s="30"/>
      <c r="JC53" s="30"/>
      <c r="JD53" s="31"/>
    </row>
    <row r="54" spans="9:264" ht="7.5" customHeight="1" x14ac:dyDescent="0.25"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7"/>
      <c r="BG54" s="4"/>
      <c r="BH54" s="4"/>
    </row>
    <row r="55" spans="9:264" ht="7.5" customHeight="1" x14ac:dyDescent="0.25"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3"/>
      <c r="BG55" s="4"/>
      <c r="BH55" s="4"/>
    </row>
    <row r="56" spans="9:264" ht="7.5" customHeight="1" x14ac:dyDescent="0.25"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3"/>
      <c r="BG56" s="4"/>
      <c r="BH56" s="4"/>
    </row>
    <row r="57" spans="9:264" ht="7.5" customHeight="1" x14ac:dyDescent="0.25"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3"/>
      <c r="BG57" s="4"/>
      <c r="BH57" s="4"/>
    </row>
    <row r="58" spans="9:264" ht="7.5" customHeight="1" x14ac:dyDescent="0.25"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3"/>
      <c r="BG58" s="4"/>
      <c r="BH58" s="4"/>
    </row>
    <row r="59" spans="9:264" ht="7.5" customHeight="1" x14ac:dyDescent="0.25">
      <c r="BG59" s="4"/>
      <c r="BH59" s="4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3"/>
    </row>
    <row r="60" spans="9:264" ht="7.5" customHeight="1" x14ac:dyDescent="0.25">
      <c r="BG60" s="4"/>
      <c r="BH60" s="4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3"/>
    </row>
    <row r="61" spans="9:264" ht="7.5" customHeight="1" x14ac:dyDescent="0.25">
      <c r="BG61" s="4"/>
      <c r="BH61" s="5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9"/>
    </row>
    <row r="62" spans="9:264" ht="7.5" customHeight="1" x14ac:dyDescent="0.25">
      <c r="I62" s="23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5"/>
      <c r="CS62" s="23"/>
      <c r="CT62" s="24"/>
      <c r="CU62" s="24"/>
      <c r="CV62" s="24"/>
      <c r="CW62" s="24"/>
      <c r="CX62" s="24"/>
      <c r="CY62" s="24"/>
      <c r="CZ62" s="24"/>
      <c r="DA62" s="24"/>
      <c r="DB62" s="24"/>
      <c r="DC62" s="24"/>
      <c r="DD62" s="24"/>
      <c r="DE62" s="24"/>
      <c r="DF62" s="24"/>
      <c r="DG62" s="24"/>
      <c r="DH62" s="24"/>
      <c r="DI62" s="24"/>
      <c r="DJ62" s="24"/>
      <c r="DK62" s="24"/>
      <c r="DL62" s="24"/>
      <c r="DM62" s="24"/>
      <c r="DN62" s="24"/>
      <c r="DO62" s="24"/>
      <c r="DP62" s="24"/>
      <c r="DQ62" s="24"/>
      <c r="DR62" s="24"/>
      <c r="DS62" s="24"/>
      <c r="DT62" s="24"/>
      <c r="DU62" s="24"/>
      <c r="DV62" s="24"/>
      <c r="DW62" s="24"/>
      <c r="DX62" s="24"/>
      <c r="DY62" s="24"/>
      <c r="DZ62" s="24"/>
      <c r="EA62" s="24"/>
      <c r="EB62" s="24"/>
      <c r="EC62" s="24"/>
      <c r="ED62" s="24"/>
      <c r="EE62" s="24"/>
      <c r="EF62" s="24"/>
      <c r="EG62" s="24"/>
      <c r="EH62" s="24"/>
      <c r="EI62" s="24"/>
      <c r="EJ62" s="24"/>
      <c r="EK62" s="24"/>
      <c r="EL62" s="24"/>
      <c r="EM62" s="24"/>
      <c r="EN62" s="24"/>
      <c r="EO62" s="24"/>
      <c r="EP62" s="24"/>
      <c r="EQ62" s="24"/>
      <c r="ER62" s="24"/>
      <c r="ES62" s="24"/>
      <c r="ET62" s="24"/>
      <c r="EU62" s="24"/>
      <c r="EV62" s="24"/>
      <c r="EW62" s="24"/>
      <c r="EX62" s="24"/>
      <c r="EY62" s="24"/>
      <c r="EZ62" s="24"/>
      <c r="FA62" s="24"/>
      <c r="FB62" s="24"/>
      <c r="FC62" s="24"/>
      <c r="FD62" s="24"/>
      <c r="FE62" s="24"/>
      <c r="FF62" s="24"/>
      <c r="FG62" s="24"/>
      <c r="FH62" s="24"/>
      <c r="FI62" s="24"/>
      <c r="FJ62" s="24"/>
      <c r="FK62" s="24"/>
      <c r="FL62" s="24"/>
      <c r="FM62" s="24"/>
      <c r="FN62" s="24"/>
      <c r="FO62" s="24"/>
      <c r="FP62" s="24"/>
      <c r="FQ62" s="24"/>
      <c r="FR62" s="24"/>
      <c r="FS62" s="24"/>
      <c r="FT62" s="25"/>
      <c r="GC62" s="23"/>
      <c r="GD62" s="24"/>
      <c r="GE62" s="24"/>
      <c r="GF62" s="24"/>
      <c r="GG62" s="24"/>
      <c r="GH62" s="24"/>
      <c r="GI62" s="24"/>
      <c r="GJ62" s="24"/>
      <c r="GK62" s="24"/>
      <c r="GL62" s="24"/>
      <c r="GM62" s="24"/>
      <c r="GN62" s="24"/>
      <c r="GO62" s="24"/>
      <c r="GP62" s="24"/>
      <c r="GQ62" s="24"/>
      <c r="GR62" s="24"/>
      <c r="GS62" s="24"/>
      <c r="GT62" s="24"/>
      <c r="GU62" s="24"/>
      <c r="GV62" s="24"/>
      <c r="GW62" s="24"/>
      <c r="GX62" s="24"/>
      <c r="GY62" s="24"/>
      <c r="GZ62" s="24"/>
      <c r="HA62" s="24"/>
      <c r="HB62" s="24"/>
      <c r="HC62" s="24"/>
      <c r="HD62" s="24"/>
      <c r="HE62" s="24"/>
      <c r="HF62" s="24"/>
      <c r="HG62" s="24"/>
      <c r="HH62" s="24"/>
      <c r="HI62" s="24"/>
      <c r="HJ62" s="24"/>
      <c r="HK62" s="24"/>
      <c r="HL62" s="24"/>
      <c r="HM62" s="24"/>
      <c r="HN62" s="24"/>
      <c r="HO62" s="24"/>
      <c r="HP62" s="24"/>
      <c r="HQ62" s="24"/>
      <c r="HR62" s="24"/>
      <c r="HS62" s="24"/>
      <c r="HT62" s="24"/>
      <c r="HU62" s="24"/>
      <c r="HV62" s="24"/>
      <c r="HW62" s="24"/>
      <c r="HX62" s="24"/>
      <c r="HY62" s="24"/>
      <c r="HZ62" s="24"/>
      <c r="IA62" s="24"/>
      <c r="IB62" s="24"/>
      <c r="IC62" s="24"/>
      <c r="ID62" s="24"/>
      <c r="IE62" s="24"/>
      <c r="IF62" s="24"/>
      <c r="IG62" s="24"/>
      <c r="IH62" s="24"/>
      <c r="II62" s="24"/>
      <c r="IJ62" s="24"/>
      <c r="IK62" s="24"/>
      <c r="IL62" s="24"/>
      <c r="IM62" s="24"/>
      <c r="IN62" s="24"/>
      <c r="IO62" s="24"/>
      <c r="IP62" s="24"/>
      <c r="IQ62" s="24"/>
      <c r="IR62" s="24"/>
      <c r="IS62" s="24"/>
      <c r="IT62" s="24"/>
      <c r="IU62" s="24"/>
      <c r="IV62" s="24"/>
      <c r="IW62" s="24"/>
      <c r="IX62" s="24"/>
      <c r="IY62" s="24"/>
      <c r="IZ62" s="24"/>
      <c r="JA62" s="24"/>
      <c r="JB62" s="24"/>
      <c r="JC62" s="24"/>
      <c r="JD62" s="25"/>
    </row>
    <row r="63" spans="9:264" ht="7.5" customHeight="1" x14ac:dyDescent="0.25">
      <c r="I63" s="26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8"/>
      <c r="CS63" s="26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27"/>
      <c r="EP63" s="27"/>
      <c r="EQ63" s="27"/>
      <c r="ER63" s="27"/>
      <c r="ES63" s="27"/>
      <c r="ET63" s="27"/>
      <c r="EU63" s="27"/>
      <c r="EV63" s="27"/>
      <c r="EW63" s="27"/>
      <c r="EX63" s="27"/>
      <c r="EY63" s="27"/>
      <c r="EZ63" s="27"/>
      <c r="FA63" s="27"/>
      <c r="FB63" s="27"/>
      <c r="FC63" s="27"/>
      <c r="FD63" s="27"/>
      <c r="FE63" s="27"/>
      <c r="FF63" s="27"/>
      <c r="FG63" s="27"/>
      <c r="FH63" s="27"/>
      <c r="FI63" s="27"/>
      <c r="FJ63" s="27"/>
      <c r="FK63" s="27"/>
      <c r="FL63" s="27"/>
      <c r="FM63" s="27"/>
      <c r="FN63" s="27"/>
      <c r="FO63" s="27"/>
      <c r="FP63" s="27"/>
      <c r="FQ63" s="27"/>
      <c r="FR63" s="27"/>
      <c r="FS63" s="27"/>
      <c r="FT63" s="28"/>
      <c r="GC63" s="26"/>
      <c r="GD63" s="27"/>
      <c r="GE63" s="27"/>
      <c r="GF63" s="27"/>
      <c r="GG63" s="27"/>
      <c r="GH63" s="27"/>
      <c r="GI63" s="27"/>
      <c r="GJ63" s="27"/>
      <c r="GK63" s="27"/>
      <c r="GL63" s="27"/>
      <c r="GM63" s="27"/>
      <c r="GN63" s="27"/>
      <c r="GO63" s="27"/>
      <c r="GP63" s="27"/>
      <c r="GQ63" s="27"/>
      <c r="GR63" s="27"/>
      <c r="GS63" s="27"/>
      <c r="GT63" s="27"/>
      <c r="GU63" s="27"/>
      <c r="GV63" s="27"/>
      <c r="GW63" s="27"/>
      <c r="GX63" s="27"/>
      <c r="GY63" s="27"/>
      <c r="GZ63" s="27"/>
      <c r="HA63" s="27"/>
      <c r="HB63" s="27"/>
      <c r="HC63" s="27"/>
      <c r="HD63" s="27"/>
      <c r="HE63" s="27"/>
      <c r="HF63" s="27"/>
      <c r="HG63" s="27"/>
      <c r="HH63" s="27"/>
      <c r="HI63" s="27"/>
      <c r="HJ63" s="27"/>
      <c r="HK63" s="27"/>
      <c r="HL63" s="27"/>
      <c r="HM63" s="27"/>
      <c r="HN63" s="27"/>
      <c r="HO63" s="27"/>
      <c r="HP63" s="27"/>
      <c r="HQ63" s="27"/>
      <c r="HR63" s="27"/>
      <c r="HS63" s="27"/>
      <c r="HT63" s="27"/>
      <c r="HU63" s="27"/>
      <c r="HV63" s="27"/>
      <c r="HW63" s="27"/>
      <c r="HX63" s="27"/>
      <c r="HY63" s="27"/>
      <c r="HZ63" s="27"/>
      <c r="IA63" s="27"/>
      <c r="IB63" s="27"/>
      <c r="IC63" s="27"/>
      <c r="ID63" s="27"/>
      <c r="IE63" s="27"/>
      <c r="IF63" s="27"/>
      <c r="IG63" s="27"/>
      <c r="IH63" s="27"/>
      <c r="II63" s="27"/>
      <c r="IJ63" s="27"/>
      <c r="IK63" s="27"/>
      <c r="IL63" s="27"/>
      <c r="IM63" s="27"/>
      <c r="IN63" s="27"/>
      <c r="IO63" s="27"/>
      <c r="IP63" s="27"/>
      <c r="IQ63" s="27"/>
      <c r="IR63" s="27"/>
      <c r="IS63" s="27"/>
      <c r="IT63" s="27"/>
      <c r="IU63" s="27"/>
      <c r="IV63" s="27"/>
      <c r="IW63" s="27"/>
      <c r="IX63" s="27"/>
      <c r="IY63" s="27"/>
      <c r="IZ63" s="27"/>
      <c r="JA63" s="27"/>
      <c r="JB63" s="27"/>
      <c r="JC63" s="27"/>
      <c r="JD63" s="28"/>
    </row>
    <row r="64" spans="9:264" ht="7.5" customHeight="1" x14ac:dyDescent="0.25">
      <c r="I64" s="26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8"/>
      <c r="CS64" s="26"/>
      <c r="CT64" s="27"/>
      <c r="CU64" s="27"/>
      <c r="CV64" s="27"/>
      <c r="CW64" s="27"/>
      <c r="CX64" s="27"/>
      <c r="CY64" s="27"/>
      <c r="CZ64" s="27"/>
      <c r="DA64" s="27"/>
      <c r="DB64" s="27"/>
      <c r="DC64" s="27"/>
      <c r="DD64" s="27"/>
      <c r="DE64" s="27"/>
      <c r="DF64" s="27"/>
      <c r="DG64" s="27"/>
      <c r="DH64" s="27"/>
      <c r="DI64" s="27"/>
      <c r="DJ64" s="27"/>
      <c r="DK64" s="27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  <c r="EJ64" s="27"/>
      <c r="EK64" s="27"/>
      <c r="EL64" s="27"/>
      <c r="EM64" s="27"/>
      <c r="EN64" s="27"/>
      <c r="EO64" s="27"/>
      <c r="EP64" s="27"/>
      <c r="EQ64" s="27"/>
      <c r="ER64" s="27"/>
      <c r="ES64" s="27"/>
      <c r="ET64" s="27"/>
      <c r="EU64" s="27"/>
      <c r="EV64" s="27"/>
      <c r="EW64" s="27"/>
      <c r="EX64" s="27"/>
      <c r="EY64" s="27"/>
      <c r="EZ64" s="27"/>
      <c r="FA64" s="27"/>
      <c r="FB64" s="27"/>
      <c r="FC64" s="27"/>
      <c r="FD64" s="27"/>
      <c r="FE64" s="27"/>
      <c r="FF64" s="27"/>
      <c r="FG64" s="27"/>
      <c r="FH64" s="27"/>
      <c r="FI64" s="27"/>
      <c r="FJ64" s="27"/>
      <c r="FK64" s="27"/>
      <c r="FL64" s="27"/>
      <c r="FM64" s="27"/>
      <c r="FN64" s="27"/>
      <c r="FO64" s="27"/>
      <c r="FP64" s="27"/>
      <c r="FQ64" s="27"/>
      <c r="FR64" s="27"/>
      <c r="FS64" s="27"/>
      <c r="FT64" s="28"/>
      <c r="GC64" s="26"/>
      <c r="GD64" s="27"/>
      <c r="GE64" s="27"/>
      <c r="GF64" s="27"/>
      <c r="GG64" s="27"/>
      <c r="GH64" s="27"/>
      <c r="GI64" s="27"/>
      <c r="GJ64" s="27"/>
      <c r="GK64" s="27"/>
      <c r="GL64" s="27"/>
      <c r="GM64" s="27"/>
      <c r="GN64" s="27"/>
      <c r="GO64" s="27"/>
      <c r="GP64" s="27"/>
      <c r="GQ64" s="27"/>
      <c r="GR64" s="27"/>
      <c r="GS64" s="27"/>
      <c r="GT64" s="27"/>
      <c r="GU64" s="27"/>
      <c r="GV64" s="27"/>
      <c r="GW64" s="27"/>
      <c r="GX64" s="27"/>
      <c r="GY64" s="27"/>
      <c r="GZ64" s="27"/>
      <c r="HA64" s="27"/>
      <c r="HB64" s="27"/>
      <c r="HC64" s="27"/>
      <c r="HD64" s="27"/>
      <c r="HE64" s="27"/>
      <c r="HF64" s="27"/>
      <c r="HG64" s="27"/>
      <c r="HH64" s="27"/>
      <c r="HI64" s="27"/>
      <c r="HJ64" s="27"/>
      <c r="HK64" s="27"/>
      <c r="HL64" s="27"/>
      <c r="HM64" s="27"/>
      <c r="HN64" s="27"/>
      <c r="HO64" s="27"/>
      <c r="HP64" s="27"/>
      <c r="HQ64" s="27"/>
      <c r="HR64" s="27"/>
      <c r="HS64" s="27"/>
      <c r="HT64" s="27"/>
      <c r="HU64" s="27"/>
      <c r="HV64" s="27"/>
      <c r="HW64" s="27"/>
      <c r="HX64" s="27"/>
      <c r="HY64" s="27"/>
      <c r="HZ64" s="27"/>
      <c r="IA64" s="27"/>
      <c r="IB64" s="27"/>
      <c r="IC64" s="27"/>
      <c r="ID64" s="27"/>
      <c r="IE64" s="27"/>
      <c r="IF64" s="27"/>
      <c r="IG64" s="27"/>
      <c r="IH64" s="27"/>
      <c r="II64" s="27"/>
      <c r="IJ64" s="27"/>
      <c r="IK64" s="27"/>
      <c r="IL64" s="27"/>
      <c r="IM64" s="27"/>
      <c r="IN64" s="27"/>
      <c r="IO64" s="27"/>
      <c r="IP64" s="27"/>
      <c r="IQ64" s="27"/>
      <c r="IR64" s="27"/>
      <c r="IS64" s="27"/>
      <c r="IT64" s="27"/>
      <c r="IU64" s="27"/>
      <c r="IV64" s="27"/>
      <c r="IW64" s="27"/>
      <c r="IX64" s="27"/>
      <c r="IY64" s="27"/>
      <c r="IZ64" s="27"/>
      <c r="JA64" s="27"/>
      <c r="JB64" s="27"/>
      <c r="JC64" s="27"/>
      <c r="JD64" s="28"/>
    </row>
    <row r="65" spans="9:264" ht="7.5" customHeight="1" x14ac:dyDescent="0.25">
      <c r="I65" s="26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8"/>
      <c r="CS65" s="26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  <c r="EQ65" s="27"/>
      <c r="ER65" s="27"/>
      <c r="ES65" s="27"/>
      <c r="ET65" s="27"/>
      <c r="EU65" s="27"/>
      <c r="EV65" s="27"/>
      <c r="EW65" s="27"/>
      <c r="EX65" s="27"/>
      <c r="EY65" s="27"/>
      <c r="EZ65" s="27"/>
      <c r="FA65" s="27"/>
      <c r="FB65" s="27"/>
      <c r="FC65" s="27"/>
      <c r="FD65" s="27"/>
      <c r="FE65" s="27"/>
      <c r="FF65" s="27"/>
      <c r="FG65" s="27"/>
      <c r="FH65" s="27"/>
      <c r="FI65" s="27"/>
      <c r="FJ65" s="27"/>
      <c r="FK65" s="27"/>
      <c r="FL65" s="27"/>
      <c r="FM65" s="27"/>
      <c r="FN65" s="27"/>
      <c r="FO65" s="27"/>
      <c r="FP65" s="27"/>
      <c r="FQ65" s="27"/>
      <c r="FR65" s="27"/>
      <c r="FS65" s="27"/>
      <c r="FT65" s="28"/>
      <c r="GC65" s="26"/>
      <c r="GD65" s="27"/>
      <c r="GE65" s="27"/>
      <c r="GF65" s="27"/>
      <c r="GG65" s="27"/>
      <c r="GH65" s="27"/>
      <c r="GI65" s="27"/>
      <c r="GJ65" s="27"/>
      <c r="GK65" s="27"/>
      <c r="GL65" s="27"/>
      <c r="GM65" s="27"/>
      <c r="GN65" s="27"/>
      <c r="GO65" s="27"/>
      <c r="GP65" s="27"/>
      <c r="GQ65" s="27"/>
      <c r="GR65" s="27"/>
      <c r="GS65" s="27"/>
      <c r="GT65" s="27"/>
      <c r="GU65" s="27"/>
      <c r="GV65" s="27"/>
      <c r="GW65" s="27"/>
      <c r="GX65" s="27"/>
      <c r="GY65" s="27"/>
      <c r="GZ65" s="27"/>
      <c r="HA65" s="27"/>
      <c r="HB65" s="27"/>
      <c r="HC65" s="27"/>
      <c r="HD65" s="27"/>
      <c r="HE65" s="27"/>
      <c r="HF65" s="27"/>
      <c r="HG65" s="27"/>
      <c r="HH65" s="27"/>
      <c r="HI65" s="27"/>
      <c r="HJ65" s="27"/>
      <c r="HK65" s="27"/>
      <c r="HL65" s="27"/>
      <c r="HM65" s="27"/>
      <c r="HN65" s="27"/>
      <c r="HO65" s="27"/>
      <c r="HP65" s="27"/>
      <c r="HQ65" s="27"/>
      <c r="HR65" s="27"/>
      <c r="HS65" s="27"/>
      <c r="HT65" s="27"/>
      <c r="HU65" s="27"/>
      <c r="HV65" s="27"/>
      <c r="HW65" s="27"/>
      <c r="HX65" s="27"/>
      <c r="HY65" s="27"/>
      <c r="HZ65" s="27"/>
      <c r="IA65" s="27"/>
      <c r="IB65" s="27"/>
      <c r="IC65" s="27"/>
      <c r="ID65" s="27"/>
      <c r="IE65" s="27"/>
      <c r="IF65" s="27"/>
      <c r="IG65" s="27"/>
      <c r="IH65" s="27"/>
      <c r="II65" s="27"/>
      <c r="IJ65" s="27"/>
      <c r="IK65" s="27"/>
      <c r="IL65" s="27"/>
      <c r="IM65" s="27"/>
      <c r="IN65" s="27"/>
      <c r="IO65" s="27"/>
      <c r="IP65" s="27"/>
      <c r="IQ65" s="27"/>
      <c r="IR65" s="27"/>
      <c r="IS65" s="27"/>
      <c r="IT65" s="27"/>
      <c r="IU65" s="27"/>
      <c r="IV65" s="27"/>
      <c r="IW65" s="27"/>
      <c r="IX65" s="27"/>
      <c r="IY65" s="27"/>
      <c r="IZ65" s="27"/>
      <c r="JA65" s="27"/>
      <c r="JB65" s="27"/>
      <c r="JC65" s="27"/>
      <c r="JD65" s="28"/>
    </row>
    <row r="66" spans="9:264" ht="7.5" customHeight="1" x14ac:dyDescent="0.25">
      <c r="I66" s="26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8"/>
      <c r="CS66" s="26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7"/>
      <c r="DJ66" s="27"/>
      <c r="DK66" s="27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  <c r="EJ66" s="27"/>
      <c r="EK66" s="27"/>
      <c r="EL66" s="27"/>
      <c r="EM66" s="27"/>
      <c r="EN66" s="27"/>
      <c r="EO66" s="27"/>
      <c r="EP66" s="27"/>
      <c r="EQ66" s="27"/>
      <c r="ER66" s="27"/>
      <c r="ES66" s="27"/>
      <c r="ET66" s="27"/>
      <c r="EU66" s="27"/>
      <c r="EV66" s="27"/>
      <c r="EW66" s="27"/>
      <c r="EX66" s="27"/>
      <c r="EY66" s="27"/>
      <c r="EZ66" s="27"/>
      <c r="FA66" s="27"/>
      <c r="FB66" s="27"/>
      <c r="FC66" s="27"/>
      <c r="FD66" s="27"/>
      <c r="FE66" s="27"/>
      <c r="FF66" s="27"/>
      <c r="FG66" s="27"/>
      <c r="FH66" s="27"/>
      <c r="FI66" s="27"/>
      <c r="FJ66" s="27"/>
      <c r="FK66" s="27"/>
      <c r="FL66" s="27"/>
      <c r="FM66" s="27"/>
      <c r="FN66" s="27"/>
      <c r="FO66" s="27"/>
      <c r="FP66" s="27"/>
      <c r="FQ66" s="27"/>
      <c r="FR66" s="27"/>
      <c r="FS66" s="27"/>
      <c r="FT66" s="28"/>
      <c r="GC66" s="26"/>
      <c r="GD66" s="27"/>
      <c r="GE66" s="27"/>
      <c r="GF66" s="27"/>
      <c r="GG66" s="27"/>
      <c r="GH66" s="27"/>
      <c r="GI66" s="27"/>
      <c r="GJ66" s="27"/>
      <c r="GK66" s="27"/>
      <c r="GL66" s="27"/>
      <c r="GM66" s="27"/>
      <c r="GN66" s="27"/>
      <c r="GO66" s="27"/>
      <c r="GP66" s="27"/>
      <c r="GQ66" s="27"/>
      <c r="GR66" s="27"/>
      <c r="GS66" s="27"/>
      <c r="GT66" s="27"/>
      <c r="GU66" s="27"/>
      <c r="GV66" s="27"/>
      <c r="GW66" s="27"/>
      <c r="GX66" s="27"/>
      <c r="GY66" s="27"/>
      <c r="GZ66" s="27"/>
      <c r="HA66" s="27"/>
      <c r="HB66" s="27"/>
      <c r="HC66" s="27"/>
      <c r="HD66" s="27"/>
      <c r="HE66" s="27"/>
      <c r="HF66" s="27"/>
      <c r="HG66" s="27"/>
      <c r="HH66" s="27"/>
      <c r="HI66" s="27"/>
      <c r="HJ66" s="27"/>
      <c r="HK66" s="27"/>
      <c r="HL66" s="27"/>
      <c r="HM66" s="27"/>
      <c r="HN66" s="27"/>
      <c r="HO66" s="27"/>
      <c r="HP66" s="27"/>
      <c r="HQ66" s="27"/>
      <c r="HR66" s="27"/>
      <c r="HS66" s="27"/>
      <c r="HT66" s="27"/>
      <c r="HU66" s="27"/>
      <c r="HV66" s="27"/>
      <c r="HW66" s="27"/>
      <c r="HX66" s="27"/>
      <c r="HY66" s="27"/>
      <c r="HZ66" s="27"/>
      <c r="IA66" s="27"/>
      <c r="IB66" s="27"/>
      <c r="IC66" s="27"/>
      <c r="ID66" s="27"/>
      <c r="IE66" s="27"/>
      <c r="IF66" s="27"/>
      <c r="IG66" s="27"/>
      <c r="IH66" s="27"/>
      <c r="II66" s="27"/>
      <c r="IJ66" s="27"/>
      <c r="IK66" s="27"/>
      <c r="IL66" s="27"/>
      <c r="IM66" s="27"/>
      <c r="IN66" s="27"/>
      <c r="IO66" s="27"/>
      <c r="IP66" s="27"/>
      <c r="IQ66" s="27"/>
      <c r="IR66" s="27"/>
      <c r="IS66" s="27"/>
      <c r="IT66" s="27"/>
      <c r="IU66" s="27"/>
      <c r="IV66" s="27"/>
      <c r="IW66" s="27"/>
      <c r="IX66" s="27"/>
      <c r="IY66" s="27"/>
      <c r="IZ66" s="27"/>
      <c r="JA66" s="27"/>
      <c r="JB66" s="27"/>
      <c r="JC66" s="27"/>
      <c r="JD66" s="28"/>
    </row>
    <row r="67" spans="9:264" ht="7.5" customHeight="1" x14ac:dyDescent="0.25">
      <c r="I67" s="26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8"/>
      <c r="CS67" s="26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  <c r="EQ67" s="27"/>
      <c r="ER67" s="27"/>
      <c r="ES67" s="27"/>
      <c r="ET67" s="27"/>
      <c r="EU67" s="27"/>
      <c r="EV67" s="27"/>
      <c r="EW67" s="27"/>
      <c r="EX67" s="27"/>
      <c r="EY67" s="27"/>
      <c r="EZ67" s="27"/>
      <c r="FA67" s="27"/>
      <c r="FB67" s="27"/>
      <c r="FC67" s="27"/>
      <c r="FD67" s="27"/>
      <c r="FE67" s="27"/>
      <c r="FF67" s="27"/>
      <c r="FG67" s="27"/>
      <c r="FH67" s="27"/>
      <c r="FI67" s="27"/>
      <c r="FJ67" s="27"/>
      <c r="FK67" s="27"/>
      <c r="FL67" s="27"/>
      <c r="FM67" s="27"/>
      <c r="FN67" s="27"/>
      <c r="FO67" s="27"/>
      <c r="FP67" s="27"/>
      <c r="FQ67" s="27"/>
      <c r="FR67" s="27"/>
      <c r="FS67" s="27"/>
      <c r="FT67" s="28"/>
      <c r="GC67" s="26"/>
      <c r="GD67" s="27"/>
      <c r="GE67" s="27"/>
      <c r="GF67" s="27"/>
      <c r="GG67" s="27"/>
      <c r="GH67" s="27"/>
      <c r="GI67" s="27"/>
      <c r="GJ67" s="27"/>
      <c r="GK67" s="27"/>
      <c r="GL67" s="27"/>
      <c r="GM67" s="27"/>
      <c r="GN67" s="27"/>
      <c r="GO67" s="27"/>
      <c r="GP67" s="27"/>
      <c r="GQ67" s="27"/>
      <c r="GR67" s="27"/>
      <c r="GS67" s="27"/>
      <c r="GT67" s="27"/>
      <c r="GU67" s="27"/>
      <c r="GV67" s="27"/>
      <c r="GW67" s="27"/>
      <c r="GX67" s="27"/>
      <c r="GY67" s="27"/>
      <c r="GZ67" s="27"/>
      <c r="HA67" s="27"/>
      <c r="HB67" s="27"/>
      <c r="HC67" s="27"/>
      <c r="HD67" s="27"/>
      <c r="HE67" s="27"/>
      <c r="HF67" s="27"/>
      <c r="HG67" s="27"/>
      <c r="HH67" s="27"/>
      <c r="HI67" s="27"/>
      <c r="HJ67" s="27"/>
      <c r="HK67" s="27"/>
      <c r="HL67" s="27"/>
      <c r="HM67" s="27"/>
      <c r="HN67" s="27"/>
      <c r="HO67" s="27"/>
      <c r="HP67" s="27"/>
      <c r="HQ67" s="27"/>
      <c r="HR67" s="27"/>
      <c r="HS67" s="27"/>
      <c r="HT67" s="27"/>
      <c r="HU67" s="27"/>
      <c r="HV67" s="27"/>
      <c r="HW67" s="27"/>
      <c r="HX67" s="27"/>
      <c r="HY67" s="27"/>
      <c r="HZ67" s="27"/>
      <c r="IA67" s="27"/>
      <c r="IB67" s="27"/>
      <c r="IC67" s="27"/>
      <c r="ID67" s="27"/>
      <c r="IE67" s="27"/>
      <c r="IF67" s="27"/>
      <c r="IG67" s="27"/>
      <c r="IH67" s="27"/>
      <c r="II67" s="27"/>
      <c r="IJ67" s="27"/>
      <c r="IK67" s="27"/>
      <c r="IL67" s="27"/>
      <c r="IM67" s="27"/>
      <c r="IN67" s="27"/>
      <c r="IO67" s="27"/>
      <c r="IP67" s="27"/>
      <c r="IQ67" s="27"/>
      <c r="IR67" s="27"/>
      <c r="IS67" s="27"/>
      <c r="IT67" s="27"/>
      <c r="IU67" s="27"/>
      <c r="IV67" s="27"/>
      <c r="IW67" s="27"/>
      <c r="IX67" s="27"/>
      <c r="IY67" s="27"/>
      <c r="IZ67" s="27"/>
      <c r="JA67" s="27"/>
      <c r="JB67" s="27"/>
      <c r="JC67" s="27"/>
      <c r="JD67" s="28"/>
    </row>
    <row r="68" spans="9:264" ht="7.5" customHeight="1" x14ac:dyDescent="0.25">
      <c r="I68" s="26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8"/>
      <c r="CS68" s="26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  <c r="EO68" s="27"/>
      <c r="EP68" s="27"/>
      <c r="EQ68" s="27"/>
      <c r="ER68" s="27"/>
      <c r="ES68" s="27"/>
      <c r="ET68" s="27"/>
      <c r="EU68" s="27"/>
      <c r="EV68" s="27"/>
      <c r="EW68" s="27"/>
      <c r="EX68" s="27"/>
      <c r="EY68" s="27"/>
      <c r="EZ68" s="27"/>
      <c r="FA68" s="27"/>
      <c r="FB68" s="27"/>
      <c r="FC68" s="27"/>
      <c r="FD68" s="27"/>
      <c r="FE68" s="27"/>
      <c r="FF68" s="27"/>
      <c r="FG68" s="27"/>
      <c r="FH68" s="27"/>
      <c r="FI68" s="27"/>
      <c r="FJ68" s="27"/>
      <c r="FK68" s="27"/>
      <c r="FL68" s="27"/>
      <c r="FM68" s="27"/>
      <c r="FN68" s="27"/>
      <c r="FO68" s="27"/>
      <c r="FP68" s="27"/>
      <c r="FQ68" s="27"/>
      <c r="FR68" s="27"/>
      <c r="FS68" s="27"/>
      <c r="FT68" s="28"/>
      <c r="GC68" s="26"/>
      <c r="GD68" s="27"/>
      <c r="GE68" s="27"/>
      <c r="GF68" s="27"/>
      <c r="GG68" s="27"/>
      <c r="GH68" s="27"/>
      <c r="GI68" s="27"/>
      <c r="GJ68" s="27"/>
      <c r="GK68" s="27"/>
      <c r="GL68" s="27"/>
      <c r="GM68" s="27"/>
      <c r="GN68" s="27"/>
      <c r="GO68" s="27"/>
      <c r="GP68" s="27"/>
      <c r="GQ68" s="27"/>
      <c r="GR68" s="27"/>
      <c r="GS68" s="27"/>
      <c r="GT68" s="27"/>
      <c r="GU68" s="27"/>
      <c r="GV68" s="27"/>
      <c r="GW68" s="27"/>
      <c r="GX68" s="27"/>
      <c r="GY68" s="27"/>
      <c r="GZ68" s="27"/>
      <c r="HA68" s="27"/>
      <c r="HB68" s="27"/>
      <c r="HC68" s="27"/>
      <c r="HD68" s="27"/>
      <c r="HE68" s="27"/>
      <c r="HF68" s="27"/>
      <c r="HG68" s="27"/>
      <c r="HH68" s="27"/>
      <c r="HI68" s="27"/>
      <c r="HJ68" s="27"/>
      <c r="HK68" s="27"/>
      <c r="HL68" s="27"/>
      <c r="HM68" s="27"/>
      <c r="HN68" s="27"/>
      <c r="HO68" s="27"/>
      <c r="HP68" s="27"/>
      <c r="HQ68" s="27"/>
      <c r="HR68" s="27"/>
      <c r="HS68" s="27"/>
      <c r="HT68" s="27"/>
      <c r="HU68" s="27"/>
      <c r="HV68" s="27"/>
      <c r="HW68" s="27"/>
      <c r="HX68" s="27"/>
      <c r="HY68" s="27"/>
      <c r="HZ68" s="27"/>
      <c r="IA68" s="27"/>
      <c r="IB68" s="27"/>
      <c r="IC68" s="27"/>
      <c r="ID68" s="27"/>
      <c r="IE68" s="27"/>
      <c r="IF68" s="27"/>
      <c r="IG68" s="27"/>
      <c r="IH68" s="27"/>
      <c r="II68" s="27"/>
      <c r="IJ68" s="27"/>
      <c r="IK68" s="27"/>
      <c r="IL68" s="27"/>
      <c r="IM68" s="27"/>
      <c r="IN68" s="27"/>
      <c r="IO68" s="27"/>
      <c r="IP68" s="27"/>
      <c r="IQ68" s="27"/>
      <c r="IR68" s="27"/>
      <c r="IS68" s="27"/>
      <c r="IT68" s="27"/>
      <c r="IU68" s="27"/>
      <c r="IV68" s="27"/>
      <c r="IW68" s="27"/>
      <c r="IX68" s="27"/>
      <c r="IY68" s="27"/>
      <c r="IZ68" s="27"/>
      <c r="JA68" s="27"/>
      <c r="JB68" s="27"/>
      <c r="JC68" s="27"/>
      <c r="JD68" s="28"/>
    </row>
    <row r="69" spans="9:264" ht="7.5" customHeight="1" x14ac:dyDescent="0.25">
      <c r="I69" s="26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8"/>
      <c r="CS69" s="26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  <c r="EO69" s="27"/>
      <c r="EP69" s="27"/>
      <c r="EQ69" s="27"/>
      <c r="ER69" s="27"/>
      <c r="ES69" s="27"/>
      <c r="ET69" s="27"/>
      <c r="EU69" s="27"/>
      <c r="EV69" s="27"/>
      <c r="EW69" s="27"/>
      <c r="EX69" s="27"/>
      <c r="EY69" s="27"/>
      <c r="EZ69" s="27"/>
      <c r="FA69" s="27"/>
      <c r="FB69" s="27"/>
      <c r="FC69" s="27"/>
      <c r="FD69" s="27"/>
      <c r="FE69" s="27"/>
      <c r="FF69" s="27"/>
      <c r="FG69" s="27"/>
      <c r="FH69" s="27"/>
      <c r="FI69" s="27"/>
      <c r="FJ69" s="27"/>
      <c r="FK69" s="27"/>
      <c r="FL69" s="27"/>
      <c r="FM69" s="27"/>
      <c r="FN69" s="27"/>
      <c r="FO69" s="27"/>
      <c r="FP69" s="27"/>
      <c r="FQ69" s="27"/>
      <c r="FR69" s="27"/>
      <c r="FS69" s="27"/>
      <c r="FT69" s="28"/>
      <c r="GC69" s="26"/>
      <c r="GD69" s="27"/>
      <c r="GE69" s="27"/>
      <c r="GF69" s="27"/>
      <c r="GG69" s="27"/>
      <c r="GH69" s="27"/>
      <c r="GI69" s="27"/>
      <c r="GJ69" s="27"/>
      <c r="GK69" s="27"/>
      <c r="GL69" s="27"/>
      <c r="GM69" s="27"/>
      <c r="GN69" s="27"/>
      <c r="GO69" s="27"/>
      <c r="GP69" s="27"/>
      <c r="GQ69" s="27"/>
      <c r="GR69" s="27"/>
      <c r="GS69" s="27"/>
      <c r="GT69" s="27"/>
      <c r="GU69" s="27"/>
      <c r="GV69" s="27"/>
      <c r="GW69" s="27"/>
      <c r="GX69" s="27"/>
      <c r="GY69" s="27"/>
      <c r="GZ69" s="27"/>
      <c r="HA69" s="27"/>
      <c r="HB69" s="27"/>
      <c r="HC69" s="27"/>
      <c r="HD69" s="27"/>
      <c r="HE69" s="27"/>
      <c r="HF69" s="27"/>
      <c r="HG69" s="27"/>
      <c r="HH69" s="27"/>
      <c r="HI69" s="27"/>
      <c r="HJ69" s="27"/>
      <c r="HK69" s="27"/>
      <c r="HL69" s="27"/>
      <c r="HM69" s="27"/>
      <c r="HN69" s="27"/>
      <c r="HO69" s="27"/>
      <c r="HP69" s="27"/>
      <c r="HQ69" s="27"/>
      <c r="HR69" s="27"/>
      <c r="HS69" s="27"/>
      <c r="HT69" s="27"/>
      <c r="HU69" s="27"/>
      <c r="HV69" s="27"/>
      <c r="HW69" s="27"/>
      <c r="HX69" s="27"/>
      <c r="HY69" s="27"/>
      <c r="HZ69" s="27"/>
      <c r="IA69" s="27"/>
      <c r="IB69" s="27"/>
      <c r="IC69" s="27"/>
      <c r="ID69" s="27"/>
      <c r="IE69" s="27"/>
      <c r="IF69" s="27"/>
      <c r="IG69" s="27"/>
      <c r="IH69" s="27"/>
      <c r="II69" s="27"/>
      <c r="IJ69" s="27"/>
      <c r="IK69" s="27"/>
      <c r="IL69" s="27"/>
      <c r="IM69" s="27"/>
      <c r="IN69" s="27"/>
      <c r="IO69" s="27"/>
      <c r="IP69" s="27"/>
      <c r="IQ69" s="27"/>
      <c r="IR69" s="27"/>
      <c r="IS69" s="27"/>
      <c r="IT69" s="27"/>
      <c r="IU69" s="27"/>
      <c r="IV69" s="27"/>
      <c r="IW69" s="27"/>
      <c r="IX69" s="27"/>
      <c r="IY69" s="27"/>
      <c r="IZ69" s="27"/>
      <c r="JA69" s="27"/>
      <c r="JB69" s="27"/>
      <c r="JC69" s="27"/>
      <c r="JD69" s="28"/>
    </row>
    <row r="70" spans="9:264" ht="7.5" customHeight="1" x14ac:dyDescent="0.25">
      <c r="I70" s="26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8"/>
      <c r="CS70" s="26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7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  <c r="EJ70" s="27"/>
      <c r="EK70" s="27"/>
      <c r="EL70" s="27"/>
      <c r="EM70" s="27"/>
      <c r="EN70" s="27"/>
      <c r="EO70" s="27"/>
      <c r="EP70" s="27"/>
      <c r="EQ70" s="27"/>
      <c r="ER70" s="27"/>
      <c r="ES70" s="27"/>
      <c r="ET70" s="27"/>
      <c r="EU70" s="27"/>
      <c r="EV70" s="27"/>
      <c r="EW70" s="27"/>
      <c r="EX70" s="27"/>
      <c r="EY70" s="27"/>
      <c r="EZ70" s="27"/>
      <c r="FA70" s="27"/>
      <c r="FB70" s="27"/>
      <c r="FC70" s="27"/>
      <c r="FD70" s="27"/>
      <c r="FE70" s="27"/>
      <c r="FF70" s="27"/>
      <c r="FG70" s="27"/>
      <c r="FH70" s="27"/>
      <c r="FI70" s="27"/>
      <c r="FJ70" s="27"/>
      <c r="FK70" s="27"/>
      <c r="FL70" s="27"/>
      <c r="FM70" s="27"/>
      <c r="FN70" s="27"/>
      <c r="FO70" s="27"/>
      <c r="FP70" s="27"/>
      <c r="FQ70" s="27"/>
      <c r="FR70" s="27"/>
      <c r="FS70" s="27"/>
      <c r="FT70" s="28"/>
      <c r="GC70" s="26"/>
      <c r="GD70" s="27"/>
      <c r="GE70" s="27"/>
      <c r="GF70" s="27"/>
      <c r="GG70" s="27"/>
      <c r="GH70" s="27"/>
      <c r="GI70" s="27"/>
      <c r="GJ70" s="27"/>
      <c r="GK70" s="27"/>
      <c r="GL70" s="27"/>
      <c r="GM70" s="27"/>
      <c r="GN70" s="27"/>
      <c r="GO70" s="27"/>
      <c r="GP70" s="27"/>
      <c r="GQ70" s="27"/>
      <c r="GR70" s="27"/>
      <c r="GS70" s="27"/>
      <c r="GT70" s="27"/>
      <c r="GU70" s="27"/>
      <c r="GV70" s="27"/>
      <c r="GW70" s="27"/>
      <c r="GX70" s="27"/>
      <c r="GY70" s="27"/>
      <c r="GZ70" s="27"/>
      <c r="HA70" s="27"/>
      <c r="HB70" s="27"/>
      <c r="HC70" s="27"/>
      <c r="HD70" s="27"/>
      <c r="HE70" s="27"/>
      <c r="HF70" s="27"/>
      <c r="HG70" s="27"/>
      <c r="HH70" s="27"/>
      <c r="HI70" s="27"/>
      <c r="HJ70" s="27"/>
      <c r="HK70" s="27"/>
      <c r="HL70" s="27"/>
      <c r="HM70" s="27"/>
      <c r="HN70" s="27"/>
      <c r="HO70" s="27"/>
      <c r="HP70" s="27"/>
      <c r="HQ70" s="27"/>
      <c r="HR70" s="27"/>
      <c r="HS70" s="27"/>
      <c r="HT70" s="27"/>
      <c r="HU70" s="27"/>
      <c r="HV70" s="27"/>
      <c r="HW70" s="27"/>
      <c r="HX70" s="27"/>
      <c r="HY70" s="27"/>
      <c r="HZ70" s="27"/>
      <c r="IA70" s="27"/>
      <c r="IB70" s="27"/>
      <c r="IC70" s="27"/>
      <c r="ID70" s="27"/>
      <c r="IE70" s="27"/>
      <c r="IF70" s="27"/>
      <c r="IG70" s="27"/>
      <c r="IH70" s="27"/>
      <c r="II70" s="27"/>
      <c r="IJ70" s="27"/>
      <c r="IK70" s="27"/>
      <c r="IL70" s="27"/>
      <c r="IM70" s="27"/>
      <c r="IN70" s="27"/>
      <c r="IO70" s="27"/>
      <c r="IP70" s="27"/>
      <c r="IQ70" s="27"/>
      <c r="IR70" s="27"/>
      <c r="IS70" s="27"/>
      <c r="IT70" s="27"/>
      <c r="IU70" s="27"/>
      <c r="IV70" s="27"/>
      <c r="IW70" s="27"/>
      <c r="IX70" s="27"/>
      <c r="IY70" s="27"/>
      <c r="IZ70" s="27"/>
      <c r="JA70" s="27"/>
      <c r="JB70" s="27"/>
      <c r="JC70" s="27"/>
      <c r="JD70" s="28"/>
    </row>
    <row r="71" spans="9:264" ht="7.5" customHeight="1" x14ac:dyDescent="0.25">
      <c r="I71" s="26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8"/>
      <c r="CS71" s="26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27"/>
      <c r="EP71" s="27"/>
      <c r="EQ71" s="27"/>
      <c r="ER71" s="27"/>
      <c r="ES71" s="27"/>
      <c r="ET71" s="27"/>
      <c r="EU71" s="27"/>
      <c r="EV71" s="27"/>
      <c r="EW71" s="27"/>
      <c r="EX71" s="27"/>
      <c r="EY71" s="27"/>
      <c r="EZ71" s="27"/>
      <c r="FA71" s="27"/>
      <c r="FB71" s="27"/>
      <c r="FC71" s="27"/>
      <c r="FD71" s="27"/>
      <c r="FE71" s="27"/>
      <c r="FF71" s="27"/>
      <c r="FG71" s="27"/>
      <c r="FH71" s="27"/>
      <c r="FI71" s="27"/>
      <c r="FJ71" s="27"/>
      <c r="FK71" s="27"/>
      <c r="FL71" s="27"/>
      <c r="FM71" s="27"/>
      <c r="FN71" s="27"/>
      <c r="FO71" s="27"/>
      <c r="FP71" s="27"/>
      <c r="FQ71" s="27"/>
      <c r="FR71" s="27"/>
      <c r="FS71" s="27"/>
      <c r="FT71" s="28"/>
      <c r="GC71" s="26"/>
      <c r="GD71" s="27"/>
      <c r="GE71" s="27"/>
      <c r="GF71" s="27"/>
      <c r="GG71" s="27"/>
      <c r="GH71" s="27"/>
      <c r="GI71" s="27"/>
      <c r="GJ71" s="27"/>
      <c r="GK71" s="27"/>
      <c r="GL71" s="27"/>
      <c r="GM71" s="27"/>
      <c r="GN71" s="27"/>
      <c r="GO71" s="27"/>
      <c r="GP71" s="27"/>
      <c r="GQ71" s="27"/>
      <c r="GR71" s="27"/>
      <c r="GS71" s="27"/>
      <c r="GT71" s="27"/>
      <c r="GU71" s="27"/>
      <c r="GV71" s="27"/>
      <c r="GW71" s="27"/>
      <c r="GX71" s="27"/>
      <c r="GY71" s="27"/>
      <c r="GZ71" s="27"/>
      <c r="HA71" s="27"/>
      <c r="HB71" s="27"/>
      <c r="HC71" s="27"/>
      <c r="HD71" s="27"/>
      <c r="HE71" s="27"/>
      <c r="HF71" s="27"/>
      <c r="HG71" s="27"/>
      <c r="HH71" s="27"/>
      <c r="HI71" s="27"/>
      <c r="HJ71" s="27"/>
      <c r="HK71" s="27"/>
      <c r="HL71" s="27"/>
      <c r="HM71" s="27"/>
      <c r="HN71" s="27"/>
      <c r="HO71" s="27"/>
      <c r="HP71" s="27"/>
      <c r="HQ71" s="27"/>
      <c r="HR71" s="27"/>
      <c r="HS71" s="27"/>
      <c r="HT71" s="27"/>
      <c r="HU71" s="27"/>
      <c r="HV71" s="27"/>
      <c r="HW71" s="27"/>
      <c r="HX71" s="27"/>
      <c r="HY71" s="27"/>
      <c r="HZ71" s="27"/>
      <c r="IA71" s="27"/>
      <c r="IB71" s="27"/>
      <c r="IC71" s="27"/>
      <c r="ID71" s="27"/>
      <c r="IE71" s="27"/>
      <c r="IF71" s="27"/>
      <c r="IG71" s="27"/>
      <c r="IH71" s="27"/>
      <c r="II71" s="27"/>
      <c r="IJ71" s="27"/>
      <c r="IK71" s="27"/>
      <c r="IL71" s="27"/>
      <c r="IM71" s="27"/>
      <c r="IN71" s="27"/>
      <c r="IO71" s="27"/>
      <c r="IP71" s="27"/>
      <c r="IQ71" s="27"/>
      <c r="IR71" s="27"/>
      <c r="IS71" s="27"/>
      <c r="IT71" s="27"/>
      <c r="IU71" s="27"/>
      <c r="IV71" s="27"/>
      <c r="IW71" s="27"/>
      <c r="IX71" s="27"/>
      <c r="IY71" s="27"/>
      <c r="IZ71" s="27"/>
      <c r="JA71" s="27"/>
      <c r="JB71" s="27"/>
      <c r="JC71" s="27"/>
      <c r="JD71" s="28"/>
    </row>
    <row r="72" spans="9:264" ht="7.5" customHeight="1" x14ac:dyDescent="0.25">
      <c r="I72" s="26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8"/>
      <c r="CP72" s="2"/>
      <c r="CQ72" s="2"/>
      <c r="CR72" s="2"/>
      <c r="CS72" s="26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  <c r="EJ72" s="27"/>
      <c r="EK72" s="27"/>
      <c r="EL72" s="27"/>
      <c r="EM72" s="27"/>
      <c r="EN72" s="27"/>
      <c r="EO72" s="27"/>
      <c r="EP72" s="27"/>
      <c r="EQ72" s="27"/>
      <c r="ER72" s="27"/>
      <c r="ES72" s="27"/>
      <c r="ET72" s="27"/>
      <c r="EU72" s="27"/>
      <c r="EV72" s="27"/>
      <c r="EW72" s="27"/>
      <c r="EX72" s="27"/>
      <c r="EY72" s="27"/>
      <c r="EZ72" s="27"/>
      <c r="FA72" s="27"/>
      <c r="FB72" s="27"/>
      <c r="FC72" s="27"/>
      <c r="FD72" s="27"/>
      <c r="FE72" s="27"/>
      <c r="FF72" s="27"/>
      <c r="FG72" s="27"/>
      <c r="FH72" s="27"/>
      <c r="FI72" s="27"/>
      <c r="FJ72" s="27"/>
      <c r="FK72" s="27"/>
      <c r="FL72" s="27"/>
      <c r="FM72" s="27"/>
      <c r="FN72" s="27"/>
      <c r="FO72" s="27"/>
      <c r="FP72" s="27"/>
      <c r="FQ72" s="27"/>
      <c r="FR72" s="27"/>
      <c r="FS72" s="27"/>
      <c r="FT72" s="28"/>
      <c r="GC72" s="26"/>
      <c r="GD72" s="27"/>
      <c r="GE72" s="27"/>
      <c r="GF72" s="27"/>
      <c r="GG72" s="27"/>
      <c r="GH72" s="27"/>
      <c r="GI72" s="27"/>
      <c r="GJ72" s="27"/>
      <c r="GK72" s="27"/>
      <c r="GL72" s="27"/>
      <c r="GM72" s="27"/>
      <c r="GN72" s="27"/>
      <c r="GO72" s="27"/>
      <c r="GP72" s="27"/>
      <c r="GQ72" s="27"/>
      <c r="GR72" s="27"/>
      <c r="GS72" s="27"/>
      <c r="GT72" s="27"/>
      <c r="GU72" s="27"/>
      <c r="GV72" s="27"/>
      <c r="GW72" s="27"/>
      <c r="GX72" s="27"/>
      <c r="GY72" s="27"/>
      <c r="GZ72" s="27"/>
      <c r="HA72" s="27"/>
      <c r="HB72" s="27"/>
      <c r="HC72" s="27"/>
      <c r="HD72" s="27"/>
      <c r="HE72" s="27"/>
      <c r="HF72" s="27"/>
      <c r="HG72" s="27"/>
      <c r="HH72" s="27"/>
      <c r="HI72" s="27"/>
      <c r="HJ72" s="27"/>
      <c r="HK72" s="27"/>
      <c r="HL72" s="27"/>
      <c r="HM72" s="27"/>
      <c r="HN72" s="27"/>
      <c r="HO72" s="27"/>
      <c r="HP72" s="27"/>
      <c r="HQ72" s="27"/>
      <c r="HR72" s="27"/>
      <c r="HS72" s="27"/>
      <c r="HT72" s="27"/>
      <c r="HU72" s="27"/>
      <c r="HV72" s="27"/>
      <c r="HW72" s="27"/>
      <c r="HX72" s="27"/>
      <c r="HY72" s="27"/>
      <c r="HZ72" s="27"/>
      <c r="IA72" s="27"/>
      <c r="IB72" s="27"/>
      <c r="IC72" s="27"/>
      <c r="ID72" s="27"/>
      <c r="IE72" s="27"/>
      <c r="IF72" s="27"/>
      <c r="IG72" s="27"/>
      <c r="IH72" s="27"/>
      <c r="II72" s="27"/>
      <c r="IJ72" s="27"/>
      <c r="IK72" s="27"/>
      <c r="IL72" s="27"/>
      <c r="IM72" s="27"/>
      <c r="IN72" s="27"/>
      <c r="IO72" s="27"/>
      <c r="IP72" s="27"/>
      <c r="IQ72" s="27"/>
      <c r="IR72" s="27"/>
      <c r="IS72" s="27"/>
      <c r="IT72" s="27"/>
      <c r="IU72" s="27"/>
      <c r="IV72" s="27"/>
      <c r="IW72" s="27"/>
      <c r="IX72" s="27"/>
      <c r="IY72" s="27"/>
      <c r="IZ72" s="27"/>
      <c r="JA72" s="27"/>
      <c r="JB72" s="27"/>
      <c r="JC72" s="27"/>
      <c r="JD72" s="28"/>
    </row>
    <row r="73" spans="9:264" ht="7.5" customHeight="1" x14ac:dyDescent="0.25">
      <c r="I73" s="26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8"/>
      <c r="CP73" s="2"/>
      <c r="CQ73" s="2"/>
      <c r="CR73" s="2"/>
      <c r="CS73" s="26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  <c r="EQ73" s="27"/>
      <c r="ER73" s="27"/>
      <c r="ES73" s="27"/>
      <c r="ET73" s="27"/>
      <c r="EU73" s="27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7"/>
      <c r="FG73" s="27"/>
      <c r="FH73" s="27"/>
      <c r="FI73" s="27"/>
      <c r="FJ73" s="27"/>
      <c r="FK73" s="27"/>
      <c r="FL73" s="27"/>
      <c r="FM73" s="27"/>
      <c r="FN73" s="27"/>
      <c r="FO73" s="27"/>
      <c r="FP73" s="27"/>
      <c r="FQ73" s="27"/>
      <c r="FR73" s="27"/>
      <c r="FS73" s="27"/>
      <c r="FT73" s="28"/>
      <c r="GC73" s="26"/>
      <c r="GD73" s="27"/>
      <c r="GE73" s="27"/>
      <c r="GF73" s="27"/>
      <c r="GG73" s="27"/>
      <c r="GH73" s="27"/>
      <c r="GI73" s="27"/>
      <c r="GJ73" s="27"/>
      <c r="GK73" s="27"/>
      <c r="GL73" s="27"/>
      <c r="GM73" s="27"/>
      <c r="GN73" s="27"/>
      <c r="GO73" s="27"/>
      <c r="GP73" s="27"/>
      <c r="GQ73" s="27"/>
      <c r="GR73" s="27"/>
      <c r="GS73" s="27"/>
      <c r="GT73" s="27"/>
      <c r="GU73" s="27"/>
      <c r="GV73" s="27"/>
      <c r="GW73" s="27"/>
      <c r="GX73" s="27"/>
      <c r="GY73" s="27"/>
      <c r="GZ73" s="27"/>
      <c r="HA73" s="27"/>
      <c r="HB73" s="27"/>
      <c r="HC73" s="27"/>
      <c r="HD73" s="27"/>
      <c r="HE73" s="27"/>
      <c r="HF73" s="27"/>
      <c r="HG73" s="27"/>
      <c r="HH73" s="27"/>
      <c r="HI73" s="27"/>
      <c r="HJ73" s="27"/>
      <c r="HK73" s="27"/>
      <c r="HL73" s="27"/>
      <c r="HM73" s="27"/>
      <c r="HN73" s="27"/>
      <c r="HO73" s="27"/>
      <c r="HP73" s="27"/>
      <c r="HQ73" s="27"/>
      <c r="HR73" s="27"/>
      <c r="HS73" s="27"/>
      <c r="HT73" s="27"/>
      <c r="HU73" s="27"/>
      <c r="HV73" s="27"/>
      <c r="HW73" s="27"/>
      <c r="HX73" s="27"/>
      <c r="HY73" s="27"/>
      <c r="HZ73" s="27"/>
      <c r="IA73" s="27"/>
      <c r="IB73" s="27"/>
      <c r="IC73" s="27"/>
      <c r="ID73" s="27"/>
      <c r="IE73" s="27"/>
      <c r="IF73" s="27"/>
      <c r="IG73" s="27"/>
      <c r="IH73" s="27"/>
      <c r="II73" s="27"/>
      <c r="IJ73" s="27"/>
      <c r="IK73" s="27"/>
      <c r="IL73" s="27"/>
      <c r="IM73" s="27"/>
      <c r="IN73" s="27"/>
      <c r="IO73" s="27"/>
      <c r="IP73" s="27"/>
      <c r="IQ73" s="27"/>
      <c r="IR73" s="27"/>
      <c r="IS73" s="27"/>
      <c r="IT73" s="27"/>
      <c r="IU73" s="27"/>
      <c r="IV73" s="27"/>
      <c r="IW73" s="27"/>
      <c r="IX73" s="27"/>
      <c r="IY73" s="27"/>
      <c r="IZ73" s="27"/>
      <c r="JA73" s="27"/>
      <c r="JB73" s="27"/>
      <c r="JC73" s="27"/>
      <c r="JD73" s="28"/>
    </row>
    <row r="74" spans="9:264" ht="7.5" customHeight="1" x14ac:dyDescent="0.25">
      <c r="I74" s="26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8"/>
      <c r="CP74" s="2"/>
      <c r="CQ74" s="2"/>
      <c r="CR74" s="2"/>
      <c r="CS74" s="26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7"/>
      <c r="DJ74" s="27"/>
      <c r="DK74" s="27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  <c r="EJ74" s="27"/>
      <c r="EK74" s="27"/>
      <c r="EL74" s="27"/>
      <c r="EM74" s="27"/>
      <c r="EN74" s="27"/>
      <c r="EO74" s="27"/>
      <c r="EP74" s="27"/>
      <c r="EQ74" s="27"/>
      <c r="ER74" s="27"/>
      <c r="ES74" s="27"/>
      <c r="ET74" s="27"/>
      <c r="EU74" s="27"/>
      <c r="EV74" s="27"/>
      <c r="EW74" s="27"/>
      <c r="EX74" s="27"/>
      <c r="EY74" s="27"/>
      <c r="EZ74" s="27"/>
      <c r="FA74" s="27"/>
      <c r="FB74" s="27"/>
      <c r="FC74" s="27"/>
      <c r="FD74" s="27"/>
      <c r="FE74" s="27"/>
      <c r="FF74" s="27"/>
      <c r="FG74" s="27"/>
      <c r="FH74" s="27"/>
      <c r="FI74" s="27"/>
      <c r="FJ74" s="27"/>
      <c r="FK74" s="27"/>
      <c r="FL74" s="27"/>
      <c r="FM74" s="27"/>
      <c r="FN74" s="27"/>
      <c r="FO74" s="27"/>
      <c r="FP74" s="27"/>
      <c r="FQ74" s="27"/>
      <c r="FR74" s="27"/>
      <c r="FS74" s="27"/>
      <c r="FT74" s="28"/>
      <c r="GC74" s="26"/>
      <c r="GD74" s="27"/>
      <c r="GE74" s="27"/>
      <c r="GF74" s="27"/>
      <c r="GG74" s="27"/>
      <c r="GH74" s="27"/>
      <c r="GI74" s="27"/>
      <c r="GJ74" s="27"/>
      <c r="GK74" s="27"/>
      <c r="GL74" s="27"/>
      <c r="GM74" s="27"/>
      <c r="GN74" s="27"/>
      <c r="GO74" s="27"/>
      <c r="GP74" s="27"/>
      <c r="GQ74" s="27"/>
      <c r="GR74" s="27"/>
      <c r="GS74" s="27"/>
      <c r="GT74" s="27"/>
      <c r="GU74" s="27"/>
      <c r="GV74" s="27"/>
      <c r="GW74" s="27"/>
      <c r="GX74" s="27"/>
      <c r="GY74" s="27"/>
      <c r="GZ74" s="27"/>
      <c r="HA74" s="27"/>
      <c r="HB74" s="27"/>
      <c r="HC74" s="27"/>
      <c r="HD74" s="27"/>
      <c r="HE74" s="27"/>
      <c r="HF74" s="27"/>
      <c r="HG74" s="27"/>
      <c r="HH74" s="27"/>
      <c r="HI74" s="27"/>
      <c r="HJ74" s="27"/>
      <c r="HK74" s="27"/>
      <c r="HL74" s="27"/>
      <c r="HM74" s="27"/>
      <c r="HN74" s="27"/>
      <c r="HO74" s="27"/>
      <c r="HP74" s="27"/>
      <c r="HQ74" s="27"/>
      <c r="HR74" s="27"/>
      <c r="HS74" s="27"/>
      <c r="HT74" s="27"/>
      <c r="HU74" s="27"/>
      <c r="HV74" s="27"/>
      <c r="HW74" s="27"/>
      <c r="HX74" s="27"/>
      <c r="HY74" s="27"/>
      <c r="HZ74" s="27"/>
      <c r="IA74" s="27"/>
      <c r="IB74" s="27"/>
      <c r="IC74" s="27"/>
      <c r="ID74" s="27"/>
      <c r="IE74" s="27"/>
      <c r="IF74" s="27"/>
      <c r="IG74" s="27"/>
      <c r="IH74" s="27"/>
      <c r="II74" s="27"/>
      <c r="IJ74" s="27"/>
      <c r="IK74" s="27"/>
      <c r="IL74" s="27"/>
      <c r="IM74" s="27"/>
      <c r="IN74" s="27"/>
      <c r="IO74" s="27"/>
      <c r="IP74" s="27"/>
      <c r="IQ74" s="27"/>
      <c r="IR74" s="27"/>
      <c r="IS74" s="27"/>
      <c r="IT74" s="27"/>
      <c r="IU74" s="27"/>
      <c r="IV74" s="27"/>
      <c r="IW74" s="27"/>
      <c r="IX74" s="27"/>
      <c r="IY74" s="27"/>
      <c r="IZ74" s="27"/>
      <c r="JA74" s="27"/>
      <c r="JB74" s="27"/>
      <c r="JC74" s="27"/>
      <c r="JD74" s="28"/>
    </row>
    <row r="75" spans="9:264" ht="7.5" customHeight="1" x14ac:dyDescent="0.25">
      <c r="I75" s="26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8"/>
      <c r="CP75" s="2"/>
      <c r="CQ75" s="2"/>
      <c r="CR75" s="2"/>
      <c r="CS75" s="26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27"/>
      <c r="EP75" s="27"/>
      <c r="EQ75" s="27"/>
      <c r="ER75" s="27"/>
      <c r="ES75" s="27"/>
      <c r="ET75" s="27"/>
      <c r="EU75" s="27"/>
      <c r="EV75" s="27"/>
      <c r="EW75" s="27"/>
      <c r="EX75" s="27"/>
      <c r="EY75" s="27"/>
      <c r="EZ75" s="27"/>
      <c r="FA75" s="27"/>
      <c r="FB75" s="27"/>
      <c r="FC75" s="27"/>
      <c r="FD75" s="27"/>
      <c r="FE75" s="27"/>
      <c r="FF75" s="27"/>
      <c r="FG75" s="27"/>
      <c r="FH75" s="27"/>
      <c r="FI75" s="27"/>
      <c r="FJ75" s="27"/>
      <c r="FK75" s="27"/>
      <c r="FL75" s="27"/>
      <c r="FM75" s="27"/>
      <c r="FN75" s="27"/>
      <c r="FO75" s="27"/>
      <c r="FP75" s="27"/>
      <c r="FQ75" s="27"/>
      <c r="FR75" s="27"/>
      <c r="FS75" s="27"/>
      <c r="FT75" s="28"/>
      <c r="GC75" s="26"/>
      <c r="GD75" s="27"/>
      <c r="GE75" s="27"/>
      <c r="GF75" s="27"/>
      <c r="GG75" s="27"/>
      <c r="GH75" s="27"/>
      <c r="GI75" s="27"/>
      <c r="GJ75" s="27"/>
      <c r="GK75" s="27"/>
      <c r="GL75" s="27"/>
      <c r="GM75" s="27"/>
      <c r="GN75" s="27"/>
      <c r="GO75" s="27"/>
      <c r="GP75" s="27"/>
      <c r="GQ75" s="27"/>
      <c r="GR75" s="27"/>
      <c r="GS75" s="27"/>
      <c r="GT75" s="27"/>
      <c r="GU75" s="27"/>
      <c r="GV75" s="27"/>
      <c r="GW75" s="27"/>
      <c r="GX75" s="27"/>
      <c r="GY75" s="27"/>
      <c r="GZ75" s="27"/>
      <c r="HA75" s="27"/>
      <c r="HB75" s="27"/>
      <c r="HC75" s="27"/>
      <c r="HD75" s="27"/>
      <c r="HE75" s="27"/>
      <c r="HF75" s="27"/>
      <c r="HG75" s="27"/>
      <c r="HH75" s="27"/>
      <c r="HI75" s="27"/>
      <c r="HJ75" s="27"/>
      <c r="HK75" s="27"/>
      <c r="HL75" s="27"/>
      <c r="HM75" s="27"/>
      <c r="HN75" s="27"/>
      <c r="HO75" s="27"/>
      <c r="HP75" s="27"/>
      <c r="HQ75" s="27"/>
      <c r="HR75" s="27"/>
      <c r="HS75" s="27"/>
      <c r="HT75" s="27"/>
      <c r="HU75" s="27"/>
      <c r="HV75" s="27"/>
      <c r="HW75" s="27"/>
      <c r="HX75" s="27"/>
      <c r="HY75" s="27"/>
      <c r="HZ75" s="27"/>
      <c r="IA75" s="27"/>
      <c r="IB75" s="27"/>
      <c r="IC75" s="27"/>
      <c r="ID75" s="27"/>
      <c r="IE75" s="27"/>
      <c r="IF75" s="27"/>
      <c r="IG75" s="27"/>
      <c r="IH75" s="27"/>
      <c r="II75" s="27"/>
      <c r="IJ75" s="27"/>
      <c r="IK75" s="27"/>
      <c r="IL75" s="27"/>
      <c r="IM75" s="27"/>
      <c r="IN75" s="27"/>
      <c r="IO75" s="27"/>
      <c r="IP75" s="27"/>
      <c r="IQ75" s="27"/>
      <c r="IR75" s="27"/>
      <c r="IS75" s="27"/>
      <c r="IT75" s="27"/>
      <c r="IU75" s="27"/>
      <c r="IV75" s="27"/>
      <c r="IW75" s="27"/>
      <c r="IX75" s="27"/>
      <c r="IY75" s="27"/>
      <c r="IZ75" s="27"/>
      <c r="JA75" s="27"/>
      <c r="JB75" s="27"/>
      <c r="JC75" s="27"/>
      <c r="JD75" s="28"/>
    </row>
    <row r="76" spans="9:264" ht="7.5" customHeight="1" x14ac:dyDescent="0.25">
      <c r="I76" s="26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8"/>
      <c r="CP76" s="2"/>
      <c r="CQ76" s="2"/>
      <c r="CR76" s="2"/>
      <c r="CS76" s="26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7"/>
      <c r="DJ76" s="27"/>
      <c r="DK76" s="27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  <c r="EJ76" s="27"/>
      <c r="EK76" s="27"/>
      <c r="EL76" s="27"/>
      <c r="EM76" s="27"/>
      <c r="EN76" s="27"/>
      <c r="EO76" s="27"/>
      <c r="EP76" s="27"/>
      <c r="EQ76" s="27"/>
      <c r="ER76" s="27"/>
      <c r="ES76" s="27"/>
      <c r="ET76" s="27"/>
      <c r="EU76" s="27"/>
      <c r="EV76" s="27"/>
      <c r="EW76" s="27"/>
      <c r="EX76" s="27"/>
      <c r="EY76" s="27"/>
      <c r="EZ76" s="27"/>
      <c r="FA76" s="27"/>
      <c r="FB76" s="27"/>
      <c r="FC76" s="27"/>
      <c r="FD76" s="27"/>
      <c r="FE76" s="27"/>
      <c r="FF76" s="27"/>
      <c r="FG76" s="27"/>
      <c r="FH76" s="27"/>
      <c r="FI76" s="27"/>
      <c r="FJ76" s="27"/>
      <c r="FK76" s="27"/>
      <c r="FL76" s="27"/>
      <c r="FM76" s="27"/>
      <c r="FN76" s="27"/>
      <c r="FO76" s="27"/>
      <c r="FP76" s="27"/>
      <c r="FQ76" s="27"/>
      <c r="FR76" s="27"/>
      <c r="FS76" s="27"/>
      <c r="FT76" s="28"/>
      <c r="GC76" s="26"/>
      <c r="GD76" s="27"/>
      <c r="GE76" s="27"/>
      <c r="GF76" s="27"/>
      <c r="GG76" s="27"/>
      <c r="GH76" s="27"/>
      <c r="GI76" s="27"/>
      <c r="GJ76" s="27"/>
      <c r="GK76" s="27"/>
      <c r="GL76" s="27"/>
      <c r="GM76" s="27"/>
      <c r="GN76" s="27"/>
      <c r="GO76" s="27"/>
      <c r="GP76" s="27"/>
      <c r="GQ76" s="27"/>
      <c r="GR76" s="27"/>
      <c r="GS76" s="27"/>
      <c r="GT76" s="27"/>
      <c r="GU76" s="27"/>
      <c r="GV76" s="27"/>
      <c r="GW76" s="27"/>
      <c r="GX76" s="27"/>
      <c r="GY76" s="27"/>
      <c r="GZ76" s="27"/>
      <c r="HA76" s="27"/>
      <c r="HB76" s="27"/>
      <c r="HC76" s="27"/>
      <c r="HD76" s="27"/>
      <c r="HE76" s="27"/>
      <c r="HF76" s="27"/>
      <c r="HG76" s="27"/>
      <c r="HH76" s="27"/>
      <c r="HI76" s="27"/>
      <c r="HJ76" s="27"/>
      <c r="HK76" s="27"/>
      <c r="HL76" s="27"/>
      <c r="HM76" s="27"/>
      <c r="HN76" s="27"/>
      <c r="HO76" s="27"/>
      <c r="HP76" s="27"/>
      <c r="HQ76" s="27"/>
      <c r="HR76" s="27"/>
      <c r="HS76" s="27"/>
      <c r="HT76" s="27"/>
      <c r="HU76" s="27"/>
      <c r="HV76" s="27"/>
      <c r="HW76" s="27"/>
      <c r="HX76" s="27"/>
      <c r="HY76" s="27"/>
      <c r="HZ76" s="27"/>
      <c r="IA76" s="27"/>
      <c r="IB76" s="27"/>
      <c r="IC76" s="27"/>
      <c r="ID76" s="27"/>
      <c r="IE76" s="27"/>
      <c r="IF76" s="27"/>
      <c r="IG76" s="27"/>
      <c r="IH76" s="27"/>
      <c r="II76" s="27"/>
      <c r="IJ76" s="27"/>
      <c r="IK76" s="27"/>
      <c r="IL76" s="27"/>
      <c r="IM76" s="27"/>
      <c r="IN76" s="27"/>
      <c r="IO76" s="27"/>
      <c r="IP76" s="27"/>
      <c r="IQ76" s="27"/>
      <c r="IR76" s="27"/>
      <c r="IS76" s="27"/>
      <c r="IT76" s="27"/>
      <c r="IU76" s="27"/>
      <c r="IV76" s="27"/>
      <c r="IW76" s="27"/>
      <c r="IX76" s="27"/>
      <c r="IY76" s="27"/>
      <c r="IZ76" s="27"/>
      <c r="JA76" s="27"/>
      <c r="JB76" s="27"/>
      <c r="JC76" s="27"/>
      <c r="JD76" s="28"/>
    </row>
    <row r="77" spans="9:264" ht="7.5" customHeight="1" x14ac:dyDescent="0.25">
      <c r="I77" s="26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8"/>
      <c r="CP77" s="2"/>
      <c r="CQ77" s="2"/>
      <c r="CR77" s="2"/>
      <c r="CS77" s="26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  <c r="EJ77" s="27"/>
      <c r="EK77" s="27"/>
      <c r="EL77" s="27"/>
      <c r="EM77" s="27"/>
      <c r="EN77" s="27"/>
      <c r="EO77" s="27"/>
      <c r="EP77" s="27"/>
      <c r="EQ77" s="27"/>
      <c r="ER77" s="27"/>
      <c r="ES77" s="27"/>
      <c r="ET77" s="27"/>
      <c r="EU77" s="27"/>
      <c r="EV77" s="27"/>
      <c r="EW77" s="27"/>
      <c r="EX77" s="27"/>
      <c r="EY77" s="27"/>
      <c r="EZ77" s="27"/>
      <c r="FA77" s="27"/>
      <c r="FB77" s="27"/>
      <c r="FC77" s="27"/>
      <c r="FD77" s="27"/>
      <c r="FE77" s="27"/>
      <c r="FF77" s="27"/>
      <c r="FG77" s="27"/>
      <c r="FH77" s="27"/>
      <c r="FI77" s="27"/>
      <c r="FJ77" s="27"/>
      <c r="FK77" s="27"/>
      <c r="FL77" s="27"/>
      <c r="FM77" s="27"/>
      <c r="FN77" s="27"/>
      <c r="FO77" s="27"/>
      <c r="FP77" s="27"/>
      <c r="FQ77" s="27"/>
      <c r="FR77" s="27"/>
      <c r="FS77" s="27"/>
      <c r="FT77" s="28"/>
      <c r="GC77" s="26"/>
      <c r="GD77" s="27"/>
      <c r="GE77" s="27"/>
      <c r="GF77" s="27"/>
      <c r="GG77" s="27"/>
      <c r="GH77" s="27"/>
      <c r="GI77" s="27"/>
      <c r="GJ77" s="27"/>
      <c r="GK77" s="27"/>
      <c r="GL77" s="27"/>
      <c r="GM77" s="27"/>
      <c r="GN77" s="27"/>
      <c r="GO77" s="27"/>
      <c r="GP77" s="27"/>
      <c r="GQ77" s="27"/>
      <c r="GR77" s="27"/>
      <c r="GS77" s="27"/>
      <c r="GT77" s="27"/>
      <c r="GU77" s="27"/>
      <c r="GV77" s="27"/>
      <c r="GW77" s="27"/>
      <c r="GX77" s="27"/>
      <c r="GY77" s="27"/>
      <c r="GZ77" s="27"/>
      <c r="HA77" s="27"/>
      <c r="HB77" s="27"/>
      <c r="HC77" s="27"/>
      <c r="HD77" s="27"/>
      <c r="HE77" s="27"/>
      <c r="HF77" s="27"/>
      <c r="HG77" s="27"/>
      <c r="HH77" s="27"/>
      <c r="HI77" s="27"/>
      <c r="HJ77" s="27"/>
      <c r="HK77" s="27"/>
      <c r="HL77" s="27"/>
      <c r="HM77" s="27"/>
      <c r="HN77" s="27"/>
      <c r="HO77" s="27"/>
      <c r="HP77" s="27"/>
      <c r="HQ77" s="27"/>
      <c r="HR77" s="27"/>
      <c r="HS77" s="27"/>
      <c r="HT77" s="27"/>
      <c r="HU77" s="27"/>
      <c r="HV77" s="27"/>
      <c r="HW77" s="27"/>
      <c r="HX77" s="27"/>
      <c r="HY77" s="27"/>
      <c r="HZ77" s="27"/>
      <c r="IA77" s="27"/>
      <c r="IB77" s="27"/>
      <c r="IC77" s="27"/>
      <c r="ID77" s="27"/>
      <c r="IE77" s="27"/>
      <c r="IF77" s="27"/>
      <c r="IG77" s="27"/>
      <c r="IH77" s="27"/>
      <c r="II77" s="27"/>
      <c r="IJ77" s="27"/>
      <c r="IK77" s="27"/>
      <c r="IL77" s="27"/>
      <c r="IM77" s="27"/>
      <c r="IN77" s="27"/>
      <c r="IO77" s="27"/>
      <c r="IP77" s="27"/>
      <c r="IQ77" s="27"/>
      <c r="IR77" s="27"/>
      <c r="IS77" s="27"/>
      <c r="IT77" s="27"/>
      <c r="IU77" s="27"/>
      <c r="IV77" s="27"/>
      <c r="IW77" s="27"/>
      <c r="IX77" s="27"/>
      <c r="IY77" s="27"/>
      <c r="IZ77" s="27"/>
      <c r="JA77" s="27"/>
      <c r="JB77" s="27"/>
      <c r="JC77" s="27"/>
      <c r="JD77" s="28"/>
    </row>
    <row r="78" spans="9:264" ht="7.5" customHeight="1" x14ac:dyDescent="0.25">
      <c r="I78" s="26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8"/>
      <c r="CP78" s="2"/>
      <c r="CQ78" s="2"/>
      <c r="CR78" s="2"/>
      <c r="CS78" s="26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7"/>
      <c r="DJ78" s="27"/>
      <c r="DK78" s="27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  <c r="EJ78" s="27"/>
      <c r="EK78" s="27"/>
      <c r="EL78" s="27"/>
      <c r="EM78" s="27"/>
      <c r="EN78" s="27"/>
      <c r="EO78" s="27"/>
      <c r="EP78" s="27"/>
      <c r="EQ78" s="27"/>
      <c r="ER78" s="27"/>
      <c r="ES78" s="27"/>
      <c r="ET78" s="27"/>
      <c r="EU78" s="27"/>
      <c r="EV78" s="27"/>
      <c r="EW78" s="27"/>
      <c r="EX78" s="27"/>
      <c r="EY78" s="27"/>
      <c r="EZ78" s="27"/>
      <c r="FA78" s="27"/>
      <c r="FB78" s="27"/>
      <c r="FC78" s="27"/>
      <c r="FD78" s="27"/>
      <c r="FE78" s="27"/>
      <c r="FF78" s="27"/>
      <c r="FG78" s="27"/>
      <c r="FH78" s="27"/>
      <c r="FI78" s="27"/>
      <c r="FJ78" s="27"/>
      <c r="FK78" s="27"/>
      <c r="FL78" s="27"/>
      <c r="FM78" s="27"/>
      <c r="FN78" s="27"/>
      <c r="FO78" s="27"/>
      <c r="FP78" s="27"/>
      <c r="FQ78" s="27"/>
      <c r="FR78" s="27"/>
      <c r="FS78" s="27"/>
      <c r="FT78" s="28"/>
      <c r="GC78" s="26"/>
      <c r="GD78" s="27"/>
      <c r="GE78" s="27"/>
      <c r="GF78" s="27"/>
      <c r="GG78" s="27"/>
      <c r="GH78" s="27"/>
      <c r="GI78" s="27"/>
      <c r="GJ78" s="27"/>
      <c r="GK78" s="27"/>
      <c r="GL78" s="27"/>
      <c r="GM78" s="27"/>
      <c r="GN78" s="27"/>
      <c r="GO78" s="27"/>
      <c r="GP78" s="27"/>
      <c r="GQ78" s="27"/>
      <c r="GR78" s="27"/>
      <c r="GS78" s="27"/>
      <c r="GT78" s="27"/>
      <c r="GU78" s="27"/>
      <c r="GV78" s="27"/>
      <c r="GW78" s="27"/>
      <c r="GX78" s="27"/>
      <c r="GY78" s="27"/>
      <c r="GZ78" s="27"/>
      <c r="HA78" s="27"/>
      <c r="HB78" s="27"/>
      <c r="HC78" s="27"/>
      <c r="HD78" s="27"/>
      <c r="HE78" s="27"/>
      <c r="HF78" s="27"/>
      <c r="HG78" s="27"/>
      <c r="HH78" s="27"/>
      <c r="HI78" s="27"/>
      <c r="HJ78" s="27"/>
      <c r="HK78" s="27"/>
      <c r="HL78" s="27"/>
      <c r="HM78" s="27"/>
      <c r="HN78" s="27"/>
      <c r="HO78" s="27"/>
      <c r="HP78" s="27"/>
      <c r="HQ78" s="27"/>
      <c r="HR78" s="27"/>
      <c r="HS78" s="27"/>
      <c r="HT78" s="27"/>
      <c r="HU78" s="27"/>
      <c r="HV78" s="27"/>
      <c r="HW78" s="27"/>
      <c r="HX78" s="27"/>
      <c r="HY78" s="27"/>
      <c r="HZ78" s="27"/>
      <c r="IA78" s="27"/>
      <c r="IB78" s="27"/>
      <c r="IC78" s="27"/>
      <c r="ID78" s="27"/>
      <c r="IE78" s="27"/>
      <c r="IF78" s="27"/>
      <c r="IG78" s="27"/>
      <c r="IH78" s="27"/>
      <c r="II78" s="27"/>
      <c r="IJ78" s="27"/>
      <c r="IK78" s="27"/>
      <c r="IL78" s="27"/>
      <c r="IM78" s="27"/>
      <c r="IN78" s="27"/>
      <c r="IO78" s="27"/>
      <c r="IP78" s="27"/>
      <c r="IQ78" s="27"/>
      <c r="IR78" s="27"/>
      <c r="IS78" s="27"/>
      <c r="IT78" s="27"/>
      <c r="IU78" s="27"/>
      <c r="IV78" s="27"/>
      <c r="IW78" s="27"/>
      <c r="IX78" s="27"/>
      <c r="IY78" s="27"/>
      <c r="IZ78" s="27"/>
      <c r="JA78" s="27"/>
      <c r="JB78" s="27"/>
      <c r="JC78" s="27"/>
      <c r="JD78" s="28"/>
    </row>
    <row r="79" spans="9:264" ht="7.5" customHeight="1" x14ac:dyDescent="0.25">
      <c r="I79" s="26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8"/>
      <c r="CP79" s="2"/>
      <c r="CQ79" s="2"/>
      <c r="CR79" s="2"/>
      <c r="CS79" s="26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27"/>
      <c r="EP79" s="27"/>
      <c r="EQ79" s="27"/>
      <c r="ER79" s="27"/>
      <c r="ES79" s="27"/>
      <c r="ET79" s="27"/>
      <c r="EU79" s="27"/>
      <c r="EV79" s="27"/>
      <c r="EW79" s="27"/>
      <c r="EX79" s="27"/>
      <c r="EY79" s="27"/>
      <c r="EZ79" s="27"/>
      <c r="FA79" s="27"/>
      <c r="FB79" s="27"/>
      <c r="FC79" s="27"/>
      <c r="FD79" s="27"/>
      <c r="FE79" s="27"/>
      <c r="FF79" s="27"/>
      <c r="FG79" s="27"/>
      <c r="FH79" s="27"/>
      <c r="FI79" s="27"/>
      <c r="FJ79" s="27"/>
      <c r="FK79" s="27"/>
      <c r="FL79" s="27"/>
      <c r="FM79" s="27"/>
      <c r="FN79" s="27"/>
      <c r="FO79" s="27"/>
      <c r="FP79" s="27"/>
      <c r="FQ79" s="27"/>
      <c r="FR79" s="27"/>
      <c r="FS79" s="27"/>
      <c r="FT79" s="28"/>
      <c r="GC79" s="26"/>
      <c r="GD79" s="27"/>
      <c r="GE79" s="27"/>
      <c r="GF79" s="27"/>
      <c r="GG79" s="27"/>
      <c r="GH79" s="27"/>
      <c r="GI79" s="27"/>
      <c r="GJ79" s="27"/>
      <c r="GK79" s="27"/>
      <c r="GL79" s="27"/>
      <c r="GM79" s="27"/>
      <c r="GN79" s="27"/>
      <c r="GO79" s="27"/>
      <c r="GP79" s="27"/>
      <c r="GQ79" s="27"/>
      <c r="GR79" s="27"/>
      <c r="GS79" s="27"/>
      <c r="GT79" s="27"/>
      <c r="GU79" s="27"/>
      <c r="GV79" s="27"/>
      <c r="GW79" s="27"/>
      <c r="GX79" s="27"/>
      <c r="GY79" s="27"/>
      <c r="GZ79" s="27"/>
      <c r="HA79" s="27"/>
      <c r="HB79" s="27"/>
      <c r="HC79" s="27"/>
      <c r="HD79" s="27"/>
      <c r="HE79" s="27"/>
      <c r="HF79" s="27"/>
      <c r="HG79" s="27"/>
      <c r="HH79" s="27"/>
      <c r="HI79" s="27"/>
      <c r="HJ79" s="27"/>
      <c r="HK79" s="27"/>
      <c r="HL79" s="27"/>
      <c r="HM79" s="27"/>
      <c r="HN79" s="27"/>
      <c r="HO79" s="27"/>
      <c r="HP79" s="27"/>
      <c r="HQ79" s="27"/>
      <c r="HR79" s="27"/>
      <c r="HS79" s="27"/>
      <c r="HT79" s="27"/>
      <c r="HU79" s="27"/>
      <c r="HV79" s="27"/>
      <c r="HW79" s="27"/>
      <c r="HX79" s="27"/>
      <c r="HY79" s="27"/>
      <c r="HZ79" s="27"/>
      <c r="IA79" s="27"/>
      <c r="IB79" s="27"/>
      <c r="IC79" s="27"/>
      <c r="ID79" s="27"/>
      <c r="IE79" s="27"/>
      <c r="IF79" s="27"/>
      <c r="IG79" s="27"/>
      <c r="IH79" s="27"/>
      <c r="II79" s="27"/>
      <c r="IJ79" s="27"/>
      <c r="IK79" s="27"/>
      <c r="IL79" s="27"/>
      <c r="IM79" s="27"/>
      <c r="IN79" s="27"/>
      <c r="IO79" s="27"/>
      <c r="IP79" s="27"/>
      <c r="IQ79" s="27"/>
      <c r="IR79" s="27"/>
      <c r="IS79" s="27"/>
      <c r="IT79" s="27"/>
      <c r="IU79" s="27"/>
      <c r="IV79" s="27"/>
      <c r="IW79" s="27"/>
      <c r="IX79" s="27"/>
      <c r="IY79" s="27"/>
      <c r="IZ79" s="27"/>
      <c r="JA79" s="27"/>
      <c r="JB79" s="27"/>
      <c r="JC79" s="27"/>
      <c r="JD79" s="28"/>
    </row>
    <row r="80" spans="9:264" ht="7.5" customHeight="1" x14ac:dyDescent="0.25">
      <c r="I80" s="26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8"/>
      <c r="CP80" s="2"/>
      <c r="CQ80" s="2"/>
      <c r="CR80" s="2"/>
      <c r="CS80" s="26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7"/>
      <c r="DJ80" s="27"/>
      <c r="DK80" s="27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  <c r="EJ80" s="27"/>
      <c r="EK80" s="27"/>
      <c r="EL80" s="27"/>
      <c r="EM80" s="27"/>
      <c r="EN80" s="27"/>
      <c r="EO80" s="27"/>
      <c r="EP80" s="27"/>
      <c r="EQ80" s="27"/>
      <c r="ER80" s="27"/>
      <c r="ES80" s="27"/>
      <c r="ET80" s="27"/>
      <c r="EU80" s="27"/>
      <c r="EV80" s="27"/>
      <c r="EW80" s="27"/>
      <c r="EX80" s="27"/>
      <c r="EY80" s="27"/>
      <c r="EZ80" s="27"/>
      <c r="FA80" s="27"/>
      <c r="FB80" s="27"/>
      <c r="FC80" s="27"/>
      <c r="FD80" s="27"/>
      <c r="FE80" s="27"/>
      <c r="FF80" s="27"/>
      <c r="FG80" s="27"/>
      <c r="FH80" s="27"/>
      <c r="FI80" s="27"/>
      <c r="FJ80" s="27"/>
      <c r="FK80" s="27"/>
      <c r="FL80" s="27"/>
      <c r="FM80" s="27"/>
      <c r="FN80" s="27"/>
      <c r="FO80" s="27"/>
      <c r="FP80" s="27"/>
      <c r="FQ80" s="27"/>
      <c r="FR80" s="27"/>
      <c r="FS80" s="27"/>
      <c r="FT80" s="28"/>
      <c r="GC80" s="26"/>
      <c r="GD80" s="27"/>
      <c r="GE80" s="27"/>
      <c r="GF80" s="27"/>
      <c r="GG80" s="27"/>
      <c r="GH80" s="27"/>
      <c r="GI80" s="27"/>
      <c r="GJ80" s="27"/>
      <c r="GK80" s="27"/>
      <c r="GL80" s="27"/>
      <c r="GM80" s="27"/>
      <c r="GN80" s="27"/>
      <c r="GO80" s="27"/>
      <c r="GP80" s="27"/>
      <c r="GQ80" s="27"/>
      <c r="GR80" s="27"/>
      <c r="GS80" s="27"/>
      <c r="GT80" s="27"/>
      <c r="GU80" s="27"/>
      <c r="GV80" s="27"/>
      <c r="GW80" s="27"/>
      <c r="GX80" s="27"/>
      <c r="GY80" s="27"/>
      <c r="GZ80" s="27"/>
      <c r="HA80" s="27"/>
      <c r="HB80" s="27"/>
      <c r="HC80" s="27"/>
      <c r="HD80" s="27"/>
      <c r="HE80" s="27"/>
      <c r="HF80" s="27"/>
      <c r="HG80" s="27"/>
      <c r="HH80" s="27"/>
      <c r="HI80" s="27"/>
      <c r="HJ80" s="27"/>
      <c r="HK80" s="27"/>
      <c r="HL80" s="27"/>
      <c r="HM80" s="27"/>
      <c r="HN80" s="27"/>
      <c r="HO80" s="27"/>
      <c r="HP80" s="27"/>
      <c r="HQ80" s="27"/>
      <c r="HR80" s="27"/>
      <c r="HS80" s="27"/>
      <c r="HT80" s="27"/>
      <c r="HU80" s="27"/>
      <c r="HV80" s="27"/>
      <c r="HW80" s="27"/>
      <c r="HX80" s="27"/>
      <c r="HY80" s="27"/>
      <c r="HZ80" s="27"/>
      <c r="IA80" s="27"/>
      <c r="IB80" s="27"/>
      <c r="IC80" s="27"/>
      <c r="ID80" s="27"/>
      <c r="IE80" s="27"/>
      <c r="IF80" s="27"/>
      <c r="IG80" s="27"/>
      <c r="IH80" s="27"/>
      <c r="II80" s="27"/>
      <c r="IJ80" s="27"/>
      <c r="IK80" s="27"/>
      <c r="IL80" s="27"/>
      <c r="IM80" s="27"/>
      <c r="IN80" s="27"/>
      <c r="IO80" s="27"/>
      <c r="IP80" s="27"/>
      <c r="IQ80" s="27"/>
      <c r="IR80" s="27"/>
      <c r="IS80" s="27"/>
      <c r="IT80" s="27"/>
      <c r="IU80" s="27"/>
      <c r="IV80" s="27"/>
      <c r="IW80" s="27"/>
      <c r="IX80" s="27"/>
      <c r="IY80" s="27"/>
      <c r="IZ80" s="27"/>
      <c r="JA80" s="27"/>
      <c r="JB80" s="27"/>
      <c r="JC80" s="27"/>
      <c r="JD80" s="28"/>
    </row>
    <row r="81" spans="9:264" ht="7.5" customHeight="1" x14ac:dyDescent="0.25">
      <c r="I81" s="26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8"/>
      <c r="CP81" s="2"/>
      <c r="CQ81" s="2"/>
      <c r="CR81" s="2"/>
      <c r="CS81" s="26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7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  <c r="EJ81" s="27"/>
      <c r="EK81" s="27"/>
      <c r="EL81" s="27"/>
      <c r="EM81" s="27"/>
      <c r="EN81" s="27"/>
      <c r="EO81" s="27"/>
      <c r="EP81" s="27"/>
      <c r="EQ81" s="27"/>
      <c r="ER81" s="27"/>
      <c r="ES81" s="27"/>
      <c r="ET81" s="27"/>
      <c r="EU81" s="27"/>
      <c r="EV81" s="27"/>
      <c r="EW81" s="27"/>
      <c r="EX81" s="27"/>
      <c r="EY81" s="27"/>
      <c r="EZ81" s="27"/>
      <c r="FA81" s="27"/>
      <c r="FB81" s="27"/>
      <c r="FC81" s="27"/>
      <c r="FD81" s="27"/>
      <c r="FE81" s="27"/>
      <c r="FF81" s="27"/>
      <c r="FG81" s="27"/>
      <c r="FH81" s="27"/>
      <c r="FI81" s="27"/>
      <c r="FJ81" s="27"/>
      <c r="FK81" s="27"/>
      <c r="FL81" s="27"/>
      <c r="FM81" s="27"/>
      <c r="FN81" s="27"/>
      <c r="FO81" s="27"/>
      <c r="FP81" s="27"/>
      <c r="FQ81" s="27"/>
      <c r="FR81" s="27"/>
      <c r="FS81" s="27"/>
      <c r="FT81" s="28"/>
      <c r="GC81" s="26"/>
      <c r="GD81" s="27"/>
      <c r="GE81" s="27"/>
      <c r="GF81" s="27"/>
      <c r="GG81" s="27"/>
      <c r="GH81" s="27"/>
      <c r="GI81" s="27"/>
      <c r="GJ81" s="27"/>
      <c r="GK81" s="27"/>
      <c r="GL81" s="27"/>
      <c r="GM81" s="27"/>
      <c r="GN81" s="27"/>
      <c r="GO81" s="27"/>
      <c r="GP81" s="27"/>
      <c r="GQ81" s="27"/>
      <c r="GR81" s="27"/>
      <c r="GS81" s="27"/>
      <c r="GT81" s="27"/>
      <c r="GU81" s="27"/>
      <c r="GV81" s="27"/>
      <c r="GW81" s="27"/>
      <c r="GX81" s="27"/>
      <c r="GY81" s="27"/>
      <c r="GZ81" s="27"/>
      <c r="HA81" s="27"/>
      <c r="HB81" s="27"/>
      <c r="HC81" s="27"/>
      <c r="HD81" s="27"/>
      <c r="HE81" s="27"/>
      <c r="HF81" s="27"/>
      <c r="HG81" s="27"/>
      <c r="HH81" s="27"/>
      <c r="HI81" s="27"/>
      <c r="HJ81" s="27"/>
      <c r="HK81" s="27"/>
      <c r="HL81" s="27"/>
      <c r="HM81" s="27"/>
      <c r="HN81" s="27"/>
      <c r="HO81" s="27"/>
      <c r="HP81" s="27"/>
      <c r="HQ81" s="27"/>
      <c r="HR81" s="27"/>
      <c r="HS81" s="27"/>
      <c r="HT81" s="27"/>
      <c r="HU81" s="27"/>
      <c r="HV81" s="27"/>
      <c r="HW81" s="27"/>
      <c r="HX81" s="27"/>
      <c r="HY81" s="27"/>
      <c r="HZ81" s="27"/>
      <c r="IA81" s="27"/>
      <c r="IB81" s="27"/>
      <c r="IC81" s="27"/>
      <c r="ID81" s="27"/>
      <c r="IE81" s="27"/>
      <c r="IF81" s="27"/>
      <c r="IG81" s="27"/>
      <c r="IH81" s="27"/>
      <c r="II81" s="27"/>
      <c r="IJ81" s="27"/>
      <c r="IK81" s="27"/>
      <c r="IL81" s="27"/>
      <c r="IM81" s="27"/>
      <c r="IN81" s="27"/>
      <c r="IO81" s="27"/>
      <c r="IP81" s="27"/>
      <c r="IQ81" s="27"/>
      <c r="IR81" s="27"/>
      <c r="IS81" s="27"/>
      <c r="IT81" s="27"/>
      <c r="IU81" s="27"/>
      <c r="IV81" s="27"/>
      <c r="IW81" s="27"/>
      <c r="IX81" s="27"/>
      <c r="IY81" s="27"/>
      <c r="IZ81" s="27"/>
      <c r="JA81" s="27"/>
      <c r="JB81" s="27"/>
      <c r="JC81" s="27"/>
      <c r="JD81" s="28"/>
    </row>
    <row r="82" spans="9:264" ht="7.5" customHeight="1" x14ac:dyDescent="0.25">
      <c r="I82" s="26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8"/>
      <c r="CP82" s="2"/>
      <c r="CQ82" s="2"/>
      <c r="CR82" s="2"/>
      <c r="CS82" s="26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7"/>
      <c r="DJ82" s="27"/>
      <c r="DK82" s="27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  <c r="EJ82" s="27"/>
      <c r="EK82" s="27"/>
      <c r="EL82" s="27"/>
      <c r="EM82" s="27"/>
      <c r="EN82" s="27"/>
      <c r="EO82" s="27"/>
      <c r="EP82" s="27"/>
      <c r="EQ82" s="27"/>
      <c r="ER82" s="27"/>
      <c r="ES82" s="27"/>
      <c r="ET82" s="27"/>
      <c r="EU82" s="27"/>
      <c r="EV82" s="27"/>
      <c r="EW82" s="27"/>
      <c r="EX82" s="27"/>
      <c r="EY82" s="27"/>
      <c r="EZ82" s="27"/>
      <c r="FA82" s="27"/>
      <c r="FB82" s="27"/>
      <c r="FC82" s="27"/>
      <c r="FD82" s="27"/>
      <c r="FE82" s="27"/>
      <c r="FF82" s="27"/>
      <c r="FG82" s="27"/>
      <c r="FH82" s="27"/>
      <c r="FI82" s="27"/>
      <c r="FJ82" s="27"/>
      <c r="FK82" s="27"/>
      <c r="FL82" s="27"/>
      <c r="FM82" s="27"/>
      <c r="FN82" s="27"/>
      <c r="FO82" s="27"/>
      <c r="FP82" s="27"/>
      <c r="FQ82" s="27"/>
      <c r="FR82" s="27"/>
      <c r="FS82" s="27"/>
      <c r="FT82" s="28"/>
      <c r="GC82" s="26"/>
      <c r="GD82" s="27"/>
      <c r="GE82" s="27"/>
      <c r="GF82" s="27"/>
      <c r="GG82" s="27"/>
      <c r="GH82" s="27"/>
      <c r="GI82" s="27"/>
      <c r="GJ82" s="27"/>
      <c r="GK82" s="27"/>
      <c r="GL82" s="27"/>
      <c r="GM82" s="27"/>
      <c r="GN82" s="27"/>
      <c r="GO82" s="27"/>
      <c r="GP82" s="27"/>
      <c r="GQ82" s="27"/>
      <c r="GR82" s="27"/>
      <c r="GS82" s="27"/>
      <c r="GT82" s="27"/>
      <c r="GU82" s="27"/>
      <c r="GV82" s="27"/>
      <c r="GW82" s="27"/>
      <c r="GX82" s="27"/>
      <c r="GY82" s="27"/>
      <c r="GZ82" s="27"/>
      <c r="HA82" s="27"/>
      <c r="HB82" s="27"/>
      <c r="HC82" s="27"/>
      <c r="HD82" s="27"/>
      <c r="HE82" s="27"/>
      <c r="HF82" s="27"/>
      <c r="HG82" s="27"/>
      <c r="HH82" s="27"/>
      <c r="HI82" s="27"/>
      <c r="HJ82" s="27"/>
      <c r="HK82" s="27"/>
      <c r="HL82" s="27"/>
      <c r="HM82" s="27"/>
      <c r="HN82" s="27"/>
      <c r="HO82" s="27"/>
      <c r="HP82" s="27"/>
      <c r="HQ82" s="27"/>
      <c r="HR82" s="27"/>
      <c r="HS82" s="27"/>
      <c r="HT82" s="27"/>
      <c r="HU82" s="27"/>
      <c r="HV82" s="27"/>
      <c r="HW82" s="27"/>
      <c r="HX82" s="27"/>
      <c r="HY82" s="27"/>
      <c r="HZ82" s="27"/>
      <c r="IA82" s="27"/>
      <c r="IB82" s="27"/>
      <c r="IC82" s="27"/>
      <c r="ID82" s="27"/>
      <c r="IE82" s="27"/>
      <c r="IF82" s="27"/>
      <c r="IG82" s="27"/>
      <c r="IH82" s="27"/>
      <c r="II82" s="27"/>
      <c r="IJ82" s="27"/>
      <c r="IK82" s="27"/>
      <c r="IL82" s="27"/>
      <c r="IM82" s="27"/>
      <c r="IN82" s="27"/>
      <c r="IO82" s="27"/>
      <c r="IP82" s="27"/>
      <c r="IQ82" s="27"/>
      <c r="IR82" s="27"/>
      <c r="IS82" s="27"/>
      <c r="IT82" s="27"/>
      <c r="IU82" s="27"/>
      <c r="IV82" s="27"/>
      <c r="IW82" s="27"/>
      <c r="IX82" s="27"/>
      <c r="IY82" s="27"/>
      <c r="IZ82" s="27"/>
      <c r="JA82" s="27"/>
      <c r="JB82" s="27"/>
      <c r="JC82" s="27"/>
      <c r="JD82" s="28"/>
    </row>
    <row r="83" spans="9:264" ht="7.5" customHeight="1" x14ac:dyDescent="0.25">
      <c r="I83" s="26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8"/>
      <c r="CP83" s="2"/>
      <c r="CQ83" s="2"/>
      <c r="CR83" s="2"/>
      <c r="CS83" s="26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27"/>
      <c r="EP83" s="27"/>
      <c r="EQ83" s="27"/>
      <c r="ER83" s="27"/>
      <c r="ES83" s="27"/>
      <c r="ET83" s="27"/>
      <c r="EU83" s="27"/>
      <c r="EV83" s="27"/>
      <c r="EW83" s="27"/>
      <c r="EX83" s="27"/>
      <c r="EY83" s="27"/>
      <c r="EZ83" s="27"/>
      <c r="FA83" s="27"/>
      <c r="FB83" s="27"/>
      <c r="FC83" s="27"/>
      <c r="FD83" s="27"/>
      <c r="FE83" s="27"/>
      <c r="FF83" s="27"/>
      <c r="FG83" s="27"/>
      <c r="FH83" s="27"/>
      <c r="FI83" s="27"/>
      <c r="FJ83" s="27"/>
      <c r="FK83" s="27"/>
      <c r="FL83" s="27"/>
      <c r="FM83" s="27"/>
      <c r="FN83" s="27"/>
      <c r="FO83" s="27"/>
      <c r="FP83" s="27"/>
      <c r="FQ83" s="27"/>
      <c r="FR83" s="27"/>
      <c r="FS83" s="27"/>
      <c r="FT83" s="28"/>
      <c r="GC83" s="26"/>
      <c r="GD83" s="27"/>
      <c r="GE83" s="27"/>
      <c r="GF83" s="27"/>
      <c r="GG83" s="27"/>
      <c r="GH83" s="27"/>
      <c r="GI83" s="27"/>
      <c r="GJ83" s="27"/>
      <c r="GK83" s="27"/>
      <c r="GL83" s="27"/>
      <c r="GM83" s="27"/>
      <c r="GN83" s="27"/>
      <c r="GO83" s="27"/>
      <c r="GP83" s="27"/>
      <c r="GQ83" s="27"/>
      <c r="GR83" s="27"/>
      <c r="GS83" s="27"/>
      <c r="GT83" s="27"/>
      <c r="GU83" s="27"/>
      <c r="GV83" s="27"/>
      <c r="GW83" s="27"/>
      <c r="GX83" s="27"/>
      <c r="GY83" s="27"/>
      <c r="GZ83" s="27"/>
      <c r="HA83" s="27"/>
      <c r="HB83" s="27"/>
      <c r="HC83" s="27"/>
      <c r="HD83" s="27"/>
      <c r="HE83" s="27"/>
      <c r="HF83" s="27"/>
      <c r="HG83" s="27"/>
      <c r="HH83" s="27"/>
      <c r="HI83" s="27"/>
      <c r="HJ83" s="27"/>
      <c r="HK83" s="27"/>
      <c r="HL83" s="27"/>
      <c r="HM83" s="27"/>
      <c r="HN83" s="27"/>
      <c r="HO83" s="27"/>
      <c r="HP83" s="27"/>
      <c r="HQ83" s="27"/>
      <c r="HR83" s="27"/>
      <c r="HS83" s="27"/>
      <c r="HT83" s="27"/>
      <c r="HU83" s="27"/>
      <c r="HV83" s="27"/>
      <c r="HW83" s="27"/>
      <c r="HX83" s="27"/>
      <c r="HY83" s="27"/>
      <c r="HZ83" s="27"/>
      <c r="IA83" s="27"/>
      <c r="IB83" s="27"/>
      <c r="IC83" s="27"/>
      <c r="ID83" s="27"/>
      <c r="IE83" s="27"/>
      <c r="IF83" s="27"/>
      <c r="IG83" s="27"/>
      <c r="IH83" s="27"/>
      <c r="II83" s="27"/>
      <c r="IJ83" s="27"/>
      <c r="IK83" s="27"/>
      <c r="IL83" s="27"/>
      <c r="IM83" s="27"/>
      <c r="IN83" s="27"/>
      <c r="IO83" s="27"/>
      <c r="IP83" s="27"/>
      <c r="IQ83" s="27"/>
      <c r="IR83" s="27"/>
      <c r="IS83" s="27"/>
      <c r="IT83" s="27"/>
      <c r="IU83" s="27"/>
      <c r="IV83" s="27"/>
      <c r="IW83" s="27"/>
      <c r="IX83" s="27"/>
      <c r="IY83" s="27"/>
      <c r="IZ83" s="27"/>
      <c r="JA83" s="27"/>
      <c r="JB83" s="27"/>
      <c r="JC83" s="27"/>
      <c r="JD83" s="28"/>
    </row>
    <row r="84" spans="9:264" ht="7.5" customHeight="1" x14ac:dyDescent="0.25">
      <c r="I84" s="26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8"/>
      <c r="CP84" s="2"/>
      <c r="CQ84" s="2"/>
      <c r="CR84" s="2"/>
      <c r="CS84" s="26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  <c r="EQ84" s="27"/>
      <c r="ER84" s="27"/>
      <c r="ES84" s="27"/>
      <c r="ET84" s="27"/>
      <c r="EU84" s="27"/>
      <c r="EV84" s="27"/>
      <c r="EW84" s="27"/>
      <c r="EX84" s="27"/>
      <c r="EY84" s="27"/>
      <c r="EZ84" s="27"/>
      <c r="FA84" s="27"/>
      <c r="FB84" s="27"/>
      <c r="FC84" s="27"/>
      <c r="FD84" s="27"/>
      <c r="FE84" s="27"/>
      <c r="FF84" s="27"/>
      <c r="FG84" s="27"/>
      <c r="FH84" s="27"/>
      <c r="FI84" s="27"/>
      <c r="FJ84" s="27"/>
      <c r="FK84" s="27"/>
      <c r="FL84" s="27"/>
      <c r="FM84" s="27"/>
      <c r="FN84" s="27"/>
      <c r="FO84" s="27"/>
      <c r="FP84" s="27"/>
      <c r="FQ84" s="27"/>
      <c r="FR84" s="27"/>
      <c r="FS84" s="27"/>
      <c r="FT84" s="28"/>
      <c r="GC84" s="26"/>
      <c r="GD84" s="27"/>
      <c r="GE84" s="27"/>
      <c r="GF84" s="27"/>
      <c r="GG84" s="27"/>
      <c r="GH84" s="27"/>
      <c r="GI84" s="27"/>
      <c r="GJ84" s="27"/>
      <c r="GK84" s="27"/>
      <c r="GL84" s="27"/>
      <c r="GM84" s="27"/>
      <c r="GN84" s="27"/>
      <c r="GO84" s="27"/>
      <c r="GP84" s="27"/>
      <c r="GQ84" s="27"/>
      <c r="GR84" s="27"/>
      <c r="GS84" s="27"/>
      <c r="GT84" s="27"/>
      <c r="GU84" s="27"/>
      <c r="GV84" s="27"/>
      <c r="GW84" s="27"/>
      <c r="GX84" s="27"/>
      <c r="GY84" s="27"/>
      <c r="GZ84" s="27"/>
      <c r="HA84" s="27"/>
      <c r="HB84" s="27"/>
      <c r="HC84" s="27"/>
      <c r="HD84" s="27"/>
      <c r="HE84" s="27"/>
      <c r="HF84" s="27"/>
      <c r="HG84" s="27"/>
      <c r="HH84" s="27"/>
      <c r="HI84" s="27"/>
      <c r="HJ84" s="27"/>
      <c r="HK84" s="27"/>
      <c r="HL84" s="27"/>
      <c r="HM84" s="27"/>
      <c r="HN84" s="27"/>
      <c r="HO84" s="27"/>
      <c r="HP84" s="27"/>
      <c r="HQ84" s="27"/>
      <c r="HR84" s="27"/>
      <c r="HS84" s="27"/>
      <c r="HT84" s="27"/>
      <c r="HU84" s="27"/>
      <c r="HV84" s="27"/>
      <c r="HW84" s="27"/>
      <c r="HX84" s="27"/>
      <c r="HY84" s="27"/>
      <c r="HZ84" s="27"/>
      <c r="IA84" s="27"/>
      <c r="IB84" s="27"/>
      <c r="IC84" s="27"/>
      <c r="ID84" s="27"/>
      <c r="IE84" s="27"/>
      <c r="IF84" s="27"/>
      <c r="IG84" s="27"/>
      <c r="IH84" s="27"/>
      <c r="II84" s="27"/>
      <c r="IJ84" s="27"/>
      <c r="IK84" s="27"/>
      <c r="IL84" s="27"/>
      <c r="IM84" s="27"/>
      <c r="IN84" s="27"/>
      <c r="IO84" s="27"/>
      <c r="IP84" s="27"/>
      <c r="IQ84" s="27"/>
      <c r="IR84" s="27"/>
      <c r="IS84" s="27"/>
      <c r="IT84" s="27"/>
      <c r="IU84" s="27"/>
      <c r="IV84" s="27"/>
      <c r="IW84" s="27"/>
      <c r="IX84" s="27"/>
      <c r="IY84" s="27"/>
      <c r="IZ84" s="27"/>
      <c r="JA84" s="27"/>
      <c r="JB84" s="27"/>
      <c r="JC84" s="27"/>
      <c r="JD84" s="28"/>
    </row>
    <row r="85" spans="9:264" ht="7.5" customHeight="1" x14ac:dyDescent="0.25">
      <c r="I85" s="26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8"/>
      <c r="CP85" s="2"/>
      <c r="CQ85" s="2"/>
      <c r="CR85" s="2"/>
      <c r="CS85" s="26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7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  <c r="EJ85" s="27"/>
      <c r="EK85" s="27"/>
      <c r="EL85" s="27"/>
      <c r="EM85" s="27"/>
      <c r="EN85" s="27"/>
      <c r="EO85" s="27"/>
      <c r="EP85" s="27"/>
      <c r="EQ85" s="27"/>
      <c r="ER85" s="27"/>
      <c r="ES85" s="27"/>
      <c r="ET85" s="27"/>
      <c r="EU85" s="27"/>
      <c r="EV85" s="27"/>
      <c r="EW85" s="27"/>
      <c r="EX85" s="27"/>
      <c r="EY85" s="27"/>
      <c r="EZ85" s="27"/>
      <c r="FA85" s="27"/>
      <c r="FB85" s="27"/>
      <c r="FC85" s="27"/>
      <c r="FD85" s="27"/>
      <c r="FE85" s="27"/>
      <c r="FF85" s="27"/>
      <c r="FG85" s="27"/>
      <c r="FH85" s="27"/>
      <c r="FI85" s="27"/>
      <c r="FJ85" s="27"/>
      <c r="FK85" s="27"/>
      <c r="FL85" s="27"/>
      <c r="FM85" s="27"/>
      <c r="FN85" s="27"/>
      <c r="FO85" s="27"/>
      <c r="FP85" s="27"/>
      <c r="FQ85" s="27"/>
      <c r="FR85" s="27"/>
      <c r="FS85" s="27"/>
      <c r="FT85" s="28"/>
      <c r="GC85" s="26"/>
      <c r="GD85" s="27"/>
      <c r="GE85" s="27"/>
      <c r="GF85" s="27"/>
      <c r="GG85" s="27"/>
      <c r="GH85" s="27"/>
      <c r="GI85" s="27"/>
      <c r="GJ85" s="27"/>
      <c r="GK85" s="27"/>
      <c r="GL85" s="27"/>
      <c r="GM85" s="27"/>
      <c r="GN85" s="27"/>
      <c r="GO85" s="27"/>
      <c r="GP85" s="27"/>
      <c r="GQ85" s="27"/>
      <c r="GR85" s="27"/>
      <c r="GS85" s="27"/>
      <c r="GT85" s="27"/>
      <c r="GU85" s="27"/>
      <c r="GV85" s="27"/>
      <c r="GW85" s="27"/>
      <c r="GX85" s="27"/>
      <c r="GY85" s="27"/>
      <c r="GZ85" s="27"/>
      <c r="HA85" s="27"/>
      <c r="HB85" s="27"/>
      <c r="HC85" s="27"/>
      <c r="HD85" s="27"/>
      <c r="HE85" s="27"/>
      <c r="HF85" s="27"/>
      <c r="HG85" s="27"/>
      <c r="HH85" s="27"/>
      <c r="HI85" s="27"/>
      <c r="HJ85" s="27"/>
      <c r="HK85" s="27"/>
      <c r="HL85" s="27"/>
      <c r="HM85" s="27"/>
      <c r="HN85" s="27"/>
      <c r="HO85" s="27"/>
      <c r="HP85" s="27"/>
      <c r="HQ85" s="27"/>
      <c r="HR85" s="27"/>
      <c r="HS85" s="27"/>
      <c r="HT85" s="27"/>
      <c r="HU85" s="27"/>
      <c r="HV85" s="27"/>
      <c r="HW85" s="27"/>
      <c r="HX85" s="27"/>
      <c r="HY85" s="27"/>
      <c r="HZ85" s="27"/>
      <c r="IA85" s="27"/>
      <c r="IB85" s="27"/>
      <c r="IC85" s="27"/>
      <c r="ID85" s="27"/>
      <c r="IE85" s="27"/>
      <c r="IF85" s="27"/>
      <c r="IG85" s="27"/>
      <c r="IH85" s="27"/>
      <c r="II85" s="27"/>
      <c r="IJ85" s="27"/>
      <c r="IK85" s="27"/>
      <c r="IL85" s="27"/>
      <c r="IM85" s="27"/>
      <c r="IN85" s="27"/>
      <c r="IO85" s="27"/>
      <c r="IP85" s="27"/>
      <c r="IQ85" s="27"/>
      <c r="IR85" s="27"/>
      <c r="IS85" s="27"/>
      <c r="IT85" s="27"/>
      <c r="IU85" s="27"/>
      <c r="IV85" s="27"/>
      <c r="IW85" s="27"/>
      <c r="IX85" s="27"/>
      <c r="IY85" s="27"/>
      <c r="IZ85" s="27"/>
      <c r="JA85" s="27"/>
      <c r="JB85" s="27"/>
      <c r="JC85" s="27"/>
      <c r="JD85" s="28"/>
    </row>
    <row r="86" spans="9:264" ht="7.5" customHeight="1" x14ac:dyDescent="0.25">
      <c r="I86" s="26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8"/>
      <c r="CP86" s="2"/>
      <c r="CQ86" s="2"/>
      <c r="CR86" s="2"/>
      <c r="CS86" s="26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7"/>
      <c r="DJ86" s="27"/>
      <c r="DK86" s="27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  <c r="EJ86" s="27"/>
      <c r="EK86" s="27"/>
      <c r="EL86" s="27"/>
      <c r="EM86" s="27"/>
      <c r="EN86" s="27"/>
      <c r="EO86" s="27"/>
      <c r="EP86" s="27"/>
      <c r="EQ86" s="27"/>
      <c r="ER86" s="27"/>
      <c r="ES86" s="27"/>
      <c r="ET86" s="27"/>
      <c r="EU86" s="27"/>
      <c r="EV86" s="27"/>
      <c r="EW86" s="27"/>
      <c r="EX86" s="27"/>
      <c r="EY86" s="27"/>
      <c r="EZ86" s="27"/>
      <c r="FA86" s="27"/>
      <c r="FB86" s="27"/>
      <c r="FC86" s="27"/>
      <c r="FD86" s="27"/>
      <c r="FE86" s="27"/>
      <c r="FF86" s="27"/>
      <c r="FG86" s="27"/>
      <c r="FH86" s="27"/>
      <c r="FI86" s="27"/>
      <c r="FJ86" s="27"/>
      <c r="FK86" s="27"/>
      <c r="FL86" s="27"/>
      <c r="FM86" s="27"/>
      <c r="FN86" s="27"/>
      <c r="FO86" s="27"/>
      <c r="FP86" s="27"/>
      <c r="FQ86" s="27"/>
      <c r="FR86" s="27"/>
      <c r="FS86" s="27"/>
      <c r="FT86" s="28"/>
      <c r="GC86" s="26"/>
      <c r="GD86" s="27"/>
      <c r="GE86" s="27"/>
      <c r="GF86" s="27"/>
      <c r="GG86" s="27"/>
      <c r="GH86" s="27"/>
      <c r="GI86" s="27"/>
      <c r="GJ86" s="27"/>
      <c r="GK86" s="27"/>
      <c r="GL86" s="27"/>
      <c r="GM86" s="27"/>
      <c r="GN86" s="27"/>
      <c r="GO86" s="27"/>
      <c r="GP86" s="27"/>
      <c r="GQ86" s="27"/>
      <c r="GR86" s="27"/>
      <c r="GS86" s="27"/>
      <c r="GT86" s="27"/>
      <c r="GU86" s="27"/>
      <c r="GV86" s="27"/>
      <c r="GW86" s="27"/>
      <c r="GX86" s="27"/>
      <c r="GY86" s="27"/>
      <c r="GZ86" s="27"/>
      <c r="HA86" s="27"/>
      <c r="HB86" s="27"/>
      <c r="HC86" s="27"/>
      <c r="HD86" s="27"/>
      <c r="HE86" s="27"/>
      <c r="HF86" s="27"/>
      <c r="HG86" s="27"/>
      <c r="HH86" s="27"/>
      <c r="HI86" s="27"/>
      <c r="HJ86" s="27"/>
      <c r="HK86" s="27"/>
      <c r="HL86" s="27"/>
      <c r="HM86" s="27"/>
      <c r="HN86" s="27"/>
      <c r="HO86" s="27"/>
      <c r="HP86" s="27"/>
      <c r="HQ86" s="27"/>
      <c r="HR86" s="27"/>
      <c r="HS86" s="27"/>
      <c r="HT86" s="27"/>
      <c r="HU86" s="27"/>
      <c r="HV86" s="27"/>
      <c r="HW86" s="27"/>
      <c r="HX86" s="27"/>
      <c r="HY86" s="27"/>
      <c r="HZ86" s="27"/>
      <c r="IA86" s="27"/>
      <c r="IB86" s="27"/>
      <c r="IC86" s="27"/>
      <c r="ID86" s="27"/>
      <c r="IE86" s="27"/>
      <c r="IF86" s="27"/>
      <c r="IG86" s="27"/>
      <c r="IH86" s="27"/>
      <c r="II86" s="27"/>
      <c r="IJ86" s="27"/>
      <c r="IK86" s="27"/>
      <c r="IL86" s="27"/>
      <c r="IM86" s="27"/>
      <c r="IN86" s="27"/>
      <c r="IO86" s="27"/>
      <c r="IP86" s="27"/>
      <c r="IQ86" s="27"/>
      <c r="IR86" s="27"/>
      <c r="IS86" s="27"/>
      <c r="IT86" s="27"/>
      <c r="IU86" s="27"/>
      <c r="IV86" s="27"/>
      <c r="IW86" s="27"/>
      <c r="IX86" s="27"/>
      <c r="IY86" s="27"/>
      <c r="IZ86" s="27"/>
      <c r="JA86" s="27"/>
      <c r="JB86" s="27"/>
      <c r="JC86" s="27"/>
      <c r="JD86" s="28"/>
    </row>
    <row r="87" spans="9:264" ht="7.5" customHeight="1" x14ac:dyDescent="0.25">
      <c r="I87" s="26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8"/>
      <c r="CP87" s="2"/>
      <c r="CQ87" s="2"/>
      <c r="CR87" s="2"/>
      <c r="CS87" s="26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  <c r="EJ87" s="27"/>
      <c r="EK87" s="27"/>
      <c r="EL87" s="27"/>
      <c r="EM87" s="27"/>
      <c r="EN87" s="27"/>
      <c r="EO87" s="27"/>
      <c r="EP87" s="27"/>
      <c r="EQ87" s="27"/>
      <c r="ER87" s="27"/>
      <c r="ES87" s="27"/>
      <c r="ET87" s="27"/>
      <c r="EU87" s="27"/>
      <c r="EV87" s="27"/>
      <c r="EW87" s="27"/>
      <c r="EX87" s="27"/>
      <c r="EY87" s="27"/>
      <c r="EZ87" s="27"/>
      <c r="FA87" s="27"/>
      <c r="FB87" s="27"/>
      <c r="FC87" s="27"/>
      <c r="FD87" s="27"/>
      <c r="FE87" s="27"/>
      <c r="FF87" s="27"/>
      <c r="FG87" s="27"/>
      <c r="FH87" s="27"/>
      <c r="FI87" s="27"/>
      <c r="FJ87" s="27"/>
      <c r="FK87" s="27"/>
      <c r="FL87" s="27"/>
      <c r="FM87" s="27"/>
      <c r="FN87" s="27"/>
      <c r="FO87" s="27"/>
      <c r="FP87" s="27"/>
      <c r="FQ87" s="27"/>
      <c r="FR87" s="27"/>
      <c r="FS87" s="27"/>
      <c r="FT87" s="28"/>
      <c r="GC87" s="26"/>
      <c r="GD87" s="27"/>
      <c r="GE87" s="27"/>
      <c r="GF87" s="27"/>
      <c r="GG87" s="27"/>
      <c r="GH87" s="27"/>
      <c r="GI87" s="27"/>
      <c r="GJ87" s="27"/>
      <c r="GK87" s="27"/>
      <c r="GL87" s="27"/>
      <c r="GM87" s="27"/>
      <c r="GN87" s="27"/>
      <c r="GO87" s="27"/>
      <c r="GP87" s="27"/>
      <c r="GQ87" s="27"/>
      <c r="GR87" s="27"/>
      <c r="GS87" s="27"/>
      <c r="GT87" s="27"/>
      <c r="GU87" s="27"/>
      <c r="GV87" s="27"/>
      <c r="GW87" s="27"/>
      <c r="GX87" s="27"/>
      <c r="GY87" s="27"/>
      <c r="GZ87" s="27"/>
      <c r="HA87" s="27"/>
      <c r="HB87" s="27"/>
      <c r="HC87" s="27"/>
      <c r="HD87" s="27"/>
      <c r="HE87" s="27"/>
      <c r="HF87" s="27"/>
      <c r="HG87" s="27"/>
      <c r="HH87" s="27"/>
      <c r="HI87" s="27"/>
      <c r="HJ87" s="27"/>
      <c r="HK87" s="27"/>
      <c r="HL87" s="27"/>
      <c r="HM87" s="27"/>
      <c r="HN87" s="27"/>
      <c r="HO87" s="27"/>
      <c r="HP87" s="27"/>
      <c r="HQ87" s="27"/>
      <c r="HR87" s="27"/>
      <c r="HS87" s="27"/>
      <c r="HT87" s="27"/>
      <c r="HU87" s="27"/>
      <c r="HV87" s="27"/>
      <c r="HW87" s="27"/>
      <c r="HX87" s="27"/>
      <c r="HY87" s="27"/>
      <c r="HZ87" s="27"/>
      <c r="IA87" s="27"/>
      <c r="IB87" s="27"/>
      <c r="IC87" s="27"/>
      <c r="ID87" s="27"/>
      <c r="IE87" s="27"/>
      <c r="IF87" s="27"/>
      <c r="IG87" s="27"/>
      <c r="IH87" s="27"/>
      <c r="II87" s="27"/>
      <c r="IJ87" s="27"/>
      <c r="IK87" s="27"/>
      <c r="IL87" s="27"/>
      <c r="IM87" s="27"/>
      <c r="IN87" s="27"/>
      <c r="IO87" s="27"/>
      <c r="IP87" s="27"/>
      <c r="IQ87" s="27"/>
      <c r="IR87" s="27"/>
      <c r="IS87" s="27"/>
      <c r="IT87" s="27"/>
      <c r="IU87" s="27"/>
      <c r="IV87" s="27"/>
      <c r="IW87" s="27"/>
      <c r="IX87" s="27"/>
      <c r="IY87" s="27"/>
      <c r="IZ87" s="27"/>
      <c r="JA87" s="27"/>
      <c r="JB87" s="27"/>
      <c r="JC87" s="27"/>
      <c r="JD87" s="28"/>
    </row>
    <row r="88" spans="9:264" ht="7.5" customHeight="1" x14ac:dyDescent="0.25">
      <c r="I88" s="26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8"/>
      <c r="CP88" s="2"/>
      <c r="CQ88" s="2"/>
      <c r="CR88" s="2"/>
      <c r="CS88" s="26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7"/>
      <c r="DJ88" s="27"/>
      <c r="DK88" s="27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  <c r="EJ88" s="27"/>
      <c r="EK88" s="27"/>
      <c r="EL88" s="27"/>
      <c r="EM88" s="27"/>
      <c r="EN88" s="27"/>
      <c r="EO88" s="27"/>
      <c r="EP88" s="27"/>
      <c r="EQ88" s="27"/>
      <c r="ER88" s="27"/>
      <c r="ES88" s="27"/>
      <c r="ET88" s="27"/>
      <c r="EU88" s="27"/>
      <c r="EV88" s="27"/>
      <c r="EW88" s="27"/>
      <c r="EX88" s="27"/>
      <c r="EY88" s="27"/>
      <c r="EZ88" s="27"/>
      <c r="FA88" s="27"/>
      <c r="FB88" s="27"/>
      <c r="FC88" s="27"/>
      <c r="FD88" s="27"/>
      <c r="FE88" s="27"/>
      <c r="FF88" s="27"/>
      <c r="FG88" s="27"/>
      <c r="FH88" s="27"/>
      <c r="FI88" s="27"/>
      <c r="FJ88" s="27"/>
      <c r="FK88" s="27"/>
      <c r="FL88" s="27"/>
      <c r="FM88" s="27"/>
      <c r="FN88" s="27"/>
      <c r="FO88" s="27"/>
      <c r="FP88" s="27"/>
      <c r="FQ88" s="27"/>
      <c r="FR88" s="27"/>
      <c r="FS88" s="27"/>
      <c r="FT88" s="28"/>
      <c r="GC88" s="26"/>
      <c r="GD88" s="27"/>
      <c r="GE88" s="27"/>
      <c r="GF88" s="27"/>
      <c r="GG88" s="27"/>
      <c r="GH88" s="27"/>
      <c r="GI88" s="27"/>
      <c r="GJ88" s="27"/>
      <c r="GK88" s="27"/>
      <c r="GL88" s="27"/>
      <c r="GM88" s="27"/>
      <c r="GN88" s="27"/>
      <c r="GO88" s="27"/>
      <c r="GP88" s="27"/>
      <c r="GQ88" s="27"/>
      <c r="GR88" s="27"/>
      <c r="GS88" s="27"/>
      <c r="GT88" s="27"/>
      <c r="GU88" s="27"/>
      <c r="GV88" s="27"/>
      <c r="GW88" s="27"/>
      <c r="GX88" s="27"/>
      <c r="GY88" s="27"/>
      <c r="GZ88" s="27"/>
      <c r="HA88" s="27"/>
      <c r="HB88" s="27"/>
      <c r="HC88" s="27"/>
      <c r="HD88" s="27"/>
      <c r="HE88" s="27"/>
      <c r="HF88" s="27"/>
      <c r="HG88" s="27"/>
      <c r="HH88" s="27"/>
      <c r="HI88" s="27"/>
      <c r="HJ88" s="27"/>
      <c r="HK88" s="27"/>
      <c r="HL88" s="27"/>
      <c r="HM88" s="27"/>
      <c r="HN88" s="27"/>
      <c r="HO88" s="27"/>
      <c r="HP88" s="27"/>
      <c r="HQ88" s="27"/>
      <c r="HR88" s="27"/>
      <c r="HS88" s="27"/>
      <c r="HT88" s="27"/>
      <c r="HU88" s="27"/>
      <c r="HV88" s="27"/>
      <c r="HW88" s="27"/>
      <c r="HX88" s="27"/>
      <c r="HY88" s="27"/>
      <c r="HZ88" s="27"/>
      <c r="IA88" s="27"/>
      <c r="IB88" s="27"/>
      <c r="IC88" s="27"/>
      <c r="ID88" s="27"/>
      <c r="IE88" s="27"/>
      <c r="IF88" s="27"/>
      <c r="IG88" s="27"/>
      <c r="IH88" s="27"/>
      <c r="II88" s="27"/>
      <c r="IJ88" s="27"/>
      <c r="IK88" s="27"/>
      <c r="IL88" s="27"/>
      <c r="IM88" s="27"/>
      <c r="IN88" s="27"/>
      <c r="IO88" s="27"/>
      <c r="IP88" s="27"/>
      <c r="IQ88" s="27"/>
      <c r="IR88" s="27"/>
      <c r="IS88" s="27"/>
      <c r="IT88" s="27"/>
      <c r="IU88" s="27"/>
      <c r="IV88" s="27"/>
      <c r="IW88" s="27"/>
      <c r="IX88" s="27"/>
      <c r="IY88" s="27"/>
      <c r="IZ88" s="27"/>
      <c r="JA88" s="27"/>
      <c r="JB88" s="27"/>
      <c r="JC88" s="27"/>
      <c r="JD88" s="28"/>
    </row>
    <row r="89" spans="9:264" ht="7.5" customHeight="1" x14ac:dyDescent="0.25">
      <c r="I89" s="26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8"/>
      <c r="CP89" s="2"/>
      <c r="CQ89" s="2"/>
      <c r="CR89" s="2"/>
      <c r="CS89" s="26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7"/>
      <c r="DJ89" s="27"/>
      <c r="DK89" s="27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  <c r="EJ89" s="27"/>
      <c r="EK89" s="27"/>
      <c r="EL89" s="27"/>
      <c r="EM89" s="27"/>
      <c r="EN89" s="27"/>
      <c r="EO89" s="27"/>
      <c r="EP89" s="27"/>
      <c r="EQ89" s="27"/>
      <c r="ER89" s="27"/>
      <c r="ES89" s="27"/>
      <c r="ET89" s="27"/>
      <c r="EU89" s="27"/>
      <c r="EV89" s="27"/>
      <c r="EW89" s="27"/>
      <c r="EX89" s="27"/>
      <c r="EY89" s="27"/>
      <c r="EZ89" s="27"/>
      <c r="FA89" s="27"/>
      <c r="FB89" s="27"/>
      <c r="FC89" s="27"/>
      <c r="FD89" s="27"/>
      <c r="FE89" s="27"/>
      <c r="FF89" s="27"/>
      <c r="FG89" s="27"/>
      <c r="FH89" s="27"/>
      <c r="FI89" s="27"/>
      <c r="FJ89" s="27"/>
      <c r="FK89" s="27"/>
      <c r="FL89" s="27"/>
      <c r="FM89" s="27"/>
      <c r="FN89" s="27"/>
      <c r="FO89" s="27"/>
      <c r="FP89" s="27"/>
      <c r="FQ89" s="27"/>
      <c r="FR89" s="27"/>
      <c r="FS89" s="27"/>
      <c r="FT89" s="28"/>
      <c r="GC89" s="26"/>
      <c r="GD89" s="27"/>
      <c r="GE89" s="27"/>
      <c r="GF89" s="27"/>
      <c r="GG89" s="27"/>
      <c r="GH89" s="27"/>
      <c r="GI89" s="27"/>
      <c r="GJ89" s="27"/>
      <c r="GK89" s="27"/>
      <c r="GL89" s="27"/>
      <c r="GM89" s="27"/>
      <c r="GN89" s="27"/>
      <c r="GO89" s="27"/>
      <c r="GP89" s="27"/>
      <c r="GQ89" s="27"/>
      <c r="GR89" s="27"/>
      <c r="GS89" s="27"/>
      <c r="GT89" s="27"/>
      <c r="GU89" s="27"/>
      <c r="GV89" s="27"/>
      <c r="GW89" s="27"/>
      <c r="GX89" s="27"/>
      <c r="GY89" s="27"/>
      <c r="GZ89" s="27"/>
      <c r="HA89" s="27"/>
      <c r="HB89" s="27"/>
      <c r="HC89" s="27"/>
      <c r="HD89" s="27"/>
      <c r="HE89" s="27"/>
      <c r="HF89" s="27"/>
      <c r="HG89" s="27"/>
      <c r="HH89" s="27"/>
      <c r="HI89" s="27"/>
      <c r="HJ89" s="27"/>
      <c r="HK89" s="27"/>
      <c r="HL89" s="27"/>
      <c r="HM89" s="27"/>
      <c r="HN89" s="27"/>
      <c r="HO89" s="27"/>
      <c r="HP89" s="27"/>
      <c r="HQ89" s="27"/>
      <c r="HR89" s="27"/>
      <c r="HS89" s="27"/>
      <c r="HT89" s="27"/>
      <c r="HU89" s="27"/>
      <c r="HV89" s="27"/>
      <c r="HW89" s="27"/>
      <c r="HX89" s="27"/>
      <c r="HY89" s="27"/>
      <c r="HZ89" s="27"/>
      <c r="IA89" s="27"/>
      <c r="IB89" s="27"/>
      <c r="IC89" s="27"/>
      <c r="ID89" s="27"/>
      <c r="IE89" s="27"/>
      <c r="IF89" s="27"/>
      <c r="IG89" s="27"/>
      <c r="IH89" s="27"/>
      <c r="II89" s="27"/>
      <c r="IJ89" s="27"/>
      <c r="IK89" s="27"/>
      <c r="IL89" s="27"/>
      <c r="IM89" s="27"/>
      <c r="IN89" s="27"/>
      <c r="IO89" s="27"/>
      <c r="IP89" s="27"/>
      <c r="IQ89" s="27"/>
      <c r="IR89" s="27"/>
      <c r="IS89" s="27"/>
      <c r="IT89" s="27"/>
      <c r="IU89" s="27"/>
      <c r="IV89" s="27"/>
      <c r="IW89" s="27"/>
      <c r="IX89" s="27"/>
      <c r="IY89" s="27"/>
      <c r="IZ89" s="27"/>
      <c r="JA89" s="27"/>
      <c r="JB89" s="27"/>
      <c r="JC89" s="27"/>
      <c r="JD89" s="28"/>
    </row>
    <row r="90" spans="9:264" ht="7.5" customHeight="1" x14ac:dyDescent="0.25">
      <c r="I90" s="26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8"/>
      <c r="CK90" s="2"/>
      <c r="CM90" s="2"/>
      <c r="CN90" s="2"/>
      <c r="CO90" s="2"/>
      <c r="CP90" s="2"/>
      <c r="CQ90" s="2"/>
      <c r="CR90" s="2"/>
      <c r="CS90" s="26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7"/>
      <c r="DJ90" s="27"/>
      <c r="DK90" s="27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  <c r="EJ90" s="27"/>
      <c r="EK90" s="27"/>
      <c r="EL90" s="27"/>
      <c r="EM90" s="27"/>
      <c r="EN90" s="27"/>
      <c r="EO90" s="27"/>
      <c r="EP90" s="27"/>
      <c r="EQ90" s="27"/>
      <c r="ER90" s="27"/>
      <c r="ES90" s="27"/>
      <c r="ET90" s="27"/>
      <c r="EU90" s="27"/>
      <c r="EV90" s="27"/>
      <c r="EW90" s="27"/>
      <c r="EX90" s="27"/>
      <c r="EY90" s="27"/>
      <c r="EZ90" s="27"/>
      <c r="FA90" s="27"/>
      <c r="FB90" s="27"/>
      <c r="FC90" s="27"/>
      <c r="FD90" s="27"/>
      <c r="FE90" s="27"/>
      <c r="FF90" s="27"/>
      <c r="FG90" s="27"/>
      <c r="FH90" s="27"/>
      <c r="FI90" s="27"/>
      <c r="FJ90" s="27"/>
      <c r="FK90" s="27"/>
      <c r="FL90" s="27"/>
      <c r="FM90" s="27"/>
      <c r="FN90" s="27"/>
      <c r="FO90" s="27"/>
      <c r="FP90" s="27"/>
      <c r="FQ90" s="27"/>
      <c r="FR90" s="27"/>
      <c r="FS90" s="27"/>
      <c r="FT90" s="28"/>
      <c r="FU90" s="2"/>
      <c r="FV90" s="2"/>
      <c r="FW90" s="2"/>
      <c r="FX90" s="2"/>
      <c r="FY90" s="2"/>
      <c r="FZ90" s="2"/>
      <c r="GA90" s="2"/>
      <c r="GB90" s="2"/>
      <c r="GC90" s="26"/>
      <c r="GD90" s="27"/>
      <c r="GE90" s="27"/>
      <c r="GF90" s="27"/>
      <c r="GG90" s="27"/>
      <c r="GH90" s="27"/>
      <c r="GI90" s="27"/>
      <c r="GJ90" s="27"/>
      <c r="GK90" s="27"/>
      <c r="GL90" s="27"/>
      <c r="GM90" s="27"/>
      <c r="GN90" s="27"/>
      <c r="GO90" s="27"/>
      <c r="GP90" s="27"/>
      <c r="GQ90" s="27"/>
      <c r="GR90" s="27"/>
      <c r="GS90" s="27"/>
      <c r="GT90" s="27"/>
      <c r="GU90" s="27"/>
      <c r="GV90" s="27"/>
      <c r="GW90" s="27"/>
      <c r="GX90" s="27"/>
      <c r="GY90" s="27"/>
      <c r="GZ90" s="27"/>
      <c r="HA90" s="27"/>
      <c r="HB90" s="27"/>
      <c r="HC90" s="27"/>
      <c r="HD90" s="27"/>
      <c r="HE90" s="27"/>
      <c r="HF90" s="27"/>
      <c r="HG90" s="27"/>
      <c r="HH90" s="27"/>
      <c r="HI90" s="27"/>
      <c r="HJ90" s="27"/>
      <c r="HK90" s="27"/>
      <c r="HL90" s="27"/>
      <c r="HM90" s="27"/>
      <c r="HN90" s="27"/>
      <c r="HO90" s="27"/>
      <c r="HP90" s="27"/>
      <c r="HQ90" s="27"/>
      <c r="HR90" s="27"/>
      <c r="HS90" s="27"/>
      <c r="HT90" s="27"/>
      <c r="HU90" s="27"/>
      <c r="HV90" s="27"/>
      <c r="HW90" s="27"/>
      <c r="HX90" s="27"/>
      <c r="HY90" s="27"/>
      <c r="HZ90" s="27"/>
      <c r="IA90" s="27"/>
      <c r="IB90" s="27"/>
      <c r="IC90" s="27"/>
      <c r="ID90" s="27"/>
      <c r="IE90" s="27"/>
      <c r="IF90" s="27"/>
      <c r="IG90" s="27"/>
      <c r="IH90" s="27"/>
      <c r="II90" s="27"/>
      <c r="IJ90" s="27"/>
      <c r="IK90" s="27"/>
      <c r="IL90" s="27"/>
      <c r="IM90" s="27"/>
      <c r="IN90" s="27"/>
      <c r="IO90" s="27"/>
      <c r="IP90" s="27"/>
      <c r="IQ90" s="27"/>
      <c r="IR90" s="27"/>
      <c r="IS90" s="27"/>
      <c r="IT90" s="27"/>
      <c r="IU90" s="27"/>
      <c r="IV90" s="27"/>
      <c r="IW90" s="27"/>
      <c r="IX90" s="27"/>
      <c r="IY90" s="27"/>
      <c r="IZ90" s="27"/>
      <c r="JA90" s="27"/>
      <c r="JB90" s="27"/>
      <c r="JC90" s="27"/>
      <c r="JD90" s="28"/>
    </row>
    <row r="91" spans="9:264" ht="7.5" customHeight="1" x14ac:dyDescent="0.25">
      <c r="I91" s="26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8"/>
      <c r="CK91" s="2"/>
      <c r="CL91" s="2"/>
      <c r="CM91" s="2"/>
      <c r="CN91" s="2"/>
      <c r="CO91" s="2"/>
      <c r="CP91" s="2"/>
      <c r="CQ91" s="2"/>
      <c r="CR91" s="2"/>
      <c r="CS91" s="26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7"/>
      <c r="DJ91" s="27"/>
      <c r="DK91" s="27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  <c r="EJ91" s="27"/>
      <c r="EK91" s="27"/>
      <c r="EL91" s="27"/>
      <c r="EM91" s="27"/>
      <c r="EN91" s="27"/>
      <c r="EO91" s="27"/>
      <c r="EP91" s="27"/>
      <c r="EQ91" s="27"/>
      <c r="ER91" s="27"/>
      <c r="ES91" s="27"/>
      <c r="ET91" s="27"/>
      <c r="EU91" s="27"/>
      <c r="EV91" s="27"/>
      <c r="EW91" s="27"/>
      <c r="EX91" s="27"/>
      <c r="EY91" s="27"/>
      <c r="EZ91" s="27"/>
      <c r="FA91" s="27"/>
      <c r="FB91" s="27"/>
      <c r="FC91" s="27"/>
      <c r="FD91" s="27"/>
      <c r="FE91" s="27"/>
      <c r="FF91" s="27"/>
      <c r="FG91" s="27"/>
      <c r="FH91" s="27"/>
      <c r="FI91" s="27"/>
      <c r="FJ91" s="27"/>
      <c r="FK91" s="27"/>
      <c r="FL91" s="27"/>
      <c r="FM91" s="27"/>
      <c r="FN91" s="27"/>
      <c r="FO91" s="27"/>
      <c r="FP91" s="27"/>
      <c r="FQ91" s="27"/>
      <c r="FR91" s="27"/>
      <c r="FS91" s="27"/>
      <c r="FT91" s="28"/>
      <c r="FU91" s="2"/>
      <c r="FV91" s="2"/>
      <c r="FW91" s="2"/>
      <c r="FX91" s="2"/>
      <c r="FY91" s="2"/>
      <c r="FZ91" s="2"/>
      <c r="GA91" s="2"/>
      <c r="GB91" s="2"/>
      <c r="GC91" s="26"/>
      <c r="GD91" s="27"/>
      <c r="GE91" s="27"/>
      <c r="GF91" s="27"/>
      <c r="GG91" s="27"/>
      <c r="GH91" s="27"/>
      <c r="GI91" s="27"/>
      <c r="GJ91" s="27"/>
      <c r="GK91" s="27"/>
      <c r="GL91" s="27"/>
      <c r="GM91" s="27"/>
      <c r="GN91" s="27"/>
      <c r="GO91" s="27"/>
      <c r="GP91" s="27"/>
      <c r="GQ91" s="27"/>
      <c r="GR91" s="27"/>
      <c r="GS91" s="27"/>
      <c r="GT91" s="27"/>
      <c r="GU91" s="27"/>
      <c r="GV91" s="27"/>
      <c r="GW91" s="27"/>
      <c r="GX91" s="27"/>
      <c r="GY91" s="27"/>
      <c r="GZ91" s="27"/>
      <c r="HA91" s="27"/>
      <c r="HB91" s="27"/>
      <c r="HC91" s="27"/>
      <c r="HD91" s="27"/>
      <c r="HE91" s="27"/>
      <c r="HF91" s="27"/>
      <c r="HG91" s="27"/>
      <c r="HH91" s="27"/>
      <c r="HI91" s="27"/>
      <c r="HJ91" s="27"/>
      <c r="HK91" s="27"/>
      <c r="HL91" s="27"/>
      <c r="HM91" s="27"/>
      <c r="HN91" s="27"/>
      <c r="HO91" s="27"/>
      <c r="HP91" s="27"/>
      <c r="HQ91" s="27"/>
      <c r="HR91" s="27"/>
      <c r="HS91" s="27"/>
      <c r="HT91" s="27"/>
      <c r="HU91" s="27"/>
      <c r="HV91" s="27"/>
      <c r="HW91" s="27"/>
      <c r="HX91" s="27"/>
      <c r="HY91" s="27"/>
      <c r="HZ91" s="27"/>
      <c r="IA91" s="27"/>
      <c r="IB91" s="27"/>
      <c r="IC91" s="27"/>
      <c r="ID91" s="27"/>
      <c r="IE91" s="27"/>
      <c r="IF91" s="27"/>
      <c r="IG91" s="27"/>
      <c r="IH91" s="27"/>
      <c r="II91" s="27"/>
      <c r="IJ91" s="27"/>
      <c r="IK91" s="27"/>
      <c r="IL91" s="27"/>
      <c r="IM91" s="27"/>
      <c r="IN91" s="27"/>
      <c r="IO91" s="27"/>
      <c r="IP91" s="27"/>
      <c r="IQ91" s="27"/>
      <c r="IR91" s="27"/>
      <c r="IS91" s="27"/>
      <c r="IT91" s="27"/>
      <c r="IU91" s="27"/>
      <c r="IV91" s="27"/>
      <c r="IW91" s="27"/>
      <c r="IX91" s="27"/>
      <c r="IY91" s="27"/>
      <c r="IZ91" s="27"/>
      <c r="JA91" s="27"/>
      <c r="JB91" s="27"/>
      <c r="JC91" s="27"/>
      <c r="JD91" s="28"/>
    </row>
    <row r="92" spans="9:264" ht="7.5" customHeight="1" x14ac:dyDescent="0.25">
      <c r="I92" s="26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8"/>
      <c r="CK92" s="2"/>
      <c r="CL92" s="2"/>
      <c r="CM92" s="2"/>
      <c r="CN92" s="2"/>
      <c r="CO92" s="2"/>
      <c r="CP92" s="2"/>
      <c r="CQ92" s="2"/>
      <c r="CR92" s="2"/>
      <c r="CS92" s="26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7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  <c r="EJ92" s="27"/>
      <c r="EK92" s="27"/>
      <c r="EL92" s="27"/>
      <c r="EM92" s="27"/>
      <c r="EN92" s="27"/>
      <c r="EO92" s="27"/>
      <c r="EP92" s="27"/>
      <c r="EQ92" s="27"/>
      <c r="ER92" s="27"/>
      <c r="ES92" s="27"/>
      <c r="ET92" s="27"/>
      <c r="EU92" s="27"/>
      <c r="EV92" s="27"/>
      <c r="EW92" s="27"/>
      <c r="EX92" s="27"/>
      <c r="EY92" s="27"/>
      <c r="EZ92" s="27"/>
      <c r="FA92" s="27"/>
      <c r="FB92" s="27"/>
      <c r="FC92" s="27"/>
      <c r="FD92" s="27"/>
      <c r="FE92" s="27"/>
      <c r="FF92" s="27"/>
      <c r="FG92" s="27"/>
      <c r="FH92" s="27"/>
      <c r="FI92" s="27"/>
      <c r="FJ92" s="27"/>
      <c r="FK92" s="27"/>
      <c r="FL92" s="27"/>
      <c r="FM92" s="27"/>
      <c r="FN92" s="27"/>
      <c r="FO92" s="27"/>
      <c r="FP92" s="27"/>
      <c r="FQ92" s="27"/>
      <c r="FR92" s="27"/>
      <c r="FS92" s="27"/>
      <c r="FT92" s="28"/>
      <c r="FU92" s="2"/>
      <c r="FV92" s="2"/>
      <c r="FW92" s="2"/>
      <c r="FX92" s="2"/>
      <c r="FY92" s="2"/>
      <c r="FZ92" s="2"/>
      <c r="GA92" s="2"/>
      <c r="GB92" s="2"/>
      <c r="GC92" s="26"/>
      <c r="GD92" s="27"/>
      <c r="GE92" s="27"/>
      <c r="GF92" s="27"/>
      <c r="GG92" s="27"/>
      <c r="GH92" s="27"/>
      <c r="GI92" s="27"/>
      <c r="GJ92" s="27"/>
      <c r="GK92" s="27"/>
      <c r="GL92" s="27"/>
      <c r="GM92" s="27"/>
      <c r="GN92" s="27"/>
      <c r="GO92" s="27"/>
      <c r="GP92" s="27"/>
      <c r="GQ92" s="27"/>
      <c r="GR92" s="27"/>
      <c r="GS92" s="27"/>
      <c r="GT92" s="27"/>
      <c r="GU92" s="27"/>
      <c r="GV92" s="27"/>
      <c r="GW92" s="27"/>
      <c r="GX92" s="27"/>
      <c r="GY92" s="27"/>
      <c r="GZ92" s="27"/>
      <c r="HA92" s="27"/>
      <c r="HB92" s="27"/>
      <c r="HC92" s="27"/>
      <c r="HD92" s="27"/>
      <c r="HE92" s="27"/>
      <c r="HF92" s="27"/>
      <c r="HG92" s="27"/>
      <c r="HH92" s="27"/>
      <c r="HI92" s="27"/>
      <c r="HJ92" s="27"/>
      <c r="HK92" s="27"/>
      <c r="HL92" s="27"/>
      <c r="HM92" s="27"/>
      <c r="HN92" s="27"/>
      <c r="HO92" s="27"/>
      <c r="HP92" s="27"/>
      <c r="HQ92" s="27"/>
      <c r="HR92" s="27"/>
      <c r="HS92" s="27"/>
      <c r="HT92" s="27"/>
      <c r="HU92" s="27"/>
      <c r="HV92" s="27"/>
      <c r="HW92" s="27"/>
      <c r="HX92" s="27"/>
      <c r="HY92" s="27"/>
      <c r="HZ92" s="27"/>
      <c r="IA92" s="27"/>
      <c r="IB92" s="27"/>
      <c r="IC92" s="27"/>
      <c r="ID92" s="27"/>
      <c r="IE92" s="27"/>
      <c r="IF92" s="27"/>
      <c r="IG92" s="27"/>
      <c r="IH92" s="27"/>
      <c r="II92" s="27"/>
      <c r="IJ92" s="27"/>
      <c r="IK92" s="27"/>
      <c r="IL92" s="27"/>
      <c r="IM92" s="27"/>
      <c r="IN92" s="27"/>
      <c r="IO92" s="27"/>
      <c r="IP92" s="27"/>
      <c r="IQ92" s="27"/>
      <c r="IR92" s="27"/>
      <c r="IS92" s="27"/>
      <c r="IT92" s="27"/>
      <c r="IU92" s="27"/>
      <c r="IV92" s="27"/>
      <c r="IW92" s="27"/>
      <c r="IX92" s="27"/>
      <c r="IY92" s="27"/>
      <c r="IZ92" s="27"/>
      <c r="JA92" s="27"/>
      <c r="JB92" s="27"/>
      <c r="JC92" s="27"/>
      <c r="JD92" s="28"/>
    </row>
    <row r="93" spans="9:264" ht="7.5" customHeight="1" x14ac:dyDescent="0.25">
      <c r="I93" s="26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8"/>
      <c r="CK93" s="2"/>
      <c r="CL93" s="2"/>
      <c r="CM93" s="2"/>
      <c r="CN93" s="2"/>
      <c r="CO93" s="2"/>
      <c r="CP93" s="2"/>
      <c r="CQ93" s="2"/>
      <c r="CR93" s="2"/>
      <c r="CS93" s="26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7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  <c r="EJ93" s="27"/>
      <c r="EK93" s="27"/>
      <c r="EL93" s="27"/>
      <c r="EM93" s="27"/>
      <c r="EN93" s="27"/>
      <c r="EO93" s="27"/>
      <c r="EP93" s="27"/>
      <c r="EQ93" s="27"/>
      <c r="ER93" s="27"/>
      <c r="ES93" s="27"/>
      <c r="ET93" s="27"/>
      <c r="EU93" s="27"/>
      <c r="EV93" s="27"/>
      <c r="EW93" s="27"/>
      <c r="EX93" s="27"/>
      <c r="EY93" s="27"/>
      <c r="EZ93" s="27"/>
      <c r="FA93" s="27"/>
      <c r="FB93" s="27"/>
      <c r="FC93" s="27"/>
      <c r="FD93" s="27"/>
      <c r="FE93" s="27"/>
      <c r="FF93" s="27"/>
      <c r="FG93" s="27"/>
      <c r="FH93" s="27"/>
      <c r="FI93" s="27"/>
      <c r="FJ93" s="27"/>
      <c r="FK93" s="27"/>
      <c r="FL93" s="27"/>
      <c r="FM93" s="27"/>
      <c r="FN93" s="27"/>
      <c r="FO93" s="27"/>
      <c r="FP93" s="27"/>
      <c r="FQ93" s="27"/>
      <c r="FR93" s="27"/>
      <c r="FS93" s="27"/>
      <c r="FT93" s="28"/>
      <c r="FU93" s="2"/>
      <c r="FV93" s="2"/>
      <c r="FW93" s="2"/>
      <c r="FX93" s="2"/>
      <c r="FY93" s="2"/>
      <c r="FZ93" s="2"/>
      <c r="GA93" s="2"/>
      <c r="GB93" s="2"/>
      <c r="GC93" s="26"/>
      <c r="GD93" s="27"/>
      <c r="GE93" s="27"/>
      <c r="GF93" s="27"/>
      <c r="GG93" s="27"/>
      <c r="GH93" s="27"/>
      <c r="GI93" s="27"/>
      <c r="GJ93" s="27"/>
      <c r="GK93" s="27"/>
      <c r="GL93" s="27"/>
      <c r="GM93" s="27"/>
      <c r="GN93" s="27"/>
      <c r="GO93" s="27"/>
      <c r="GP93" s="27"/>
      <c r="GQ93" s="27"/>
      <c r="GR93" s="27"/>
      <c r="GS93" s="27"/>
      <c r="GT93" s="27"/>
      <c r="GU93" s="27"/>
      <c r="GV93" s="27"/>
      <c r="GW93" s="27"/>
      <c r="GX93" s="27"/>
      <c r="GY93" s="27"/>
      <c r="GZ93" s="27"/>
      <c r="HA93" s="27"/>
      <c r="HB93" s="27"/>
      <c r="HC93" s="27"/>
      <c r="HD93" s="27"/>
      <c r="HE93" s="27"/>
      <c r="HF93" s="27"/>
      <c r="HG93" s="27"/>
      <c r="HH93" s="27"/>
      <c r="HI93" s="27"/>
      <c r="HJ93" s="27"/>
      <c r="HK93" s="27"/>
      <c r="HL93" s="27"/>
      <c r="HM93" s="27"/>
      <c r="HN93" s="27"/>
      <c r="HO93" s="27"/>
      <c r="HP93" s="27"/>
      <c r="HQ93" s="27"/>
      <c r="HR93" s="27"/>
      <c r="HS93" s="27"/>
      <c r="HT93" s="27"/>
      <c r="HU93" s="27"/>
      <c r="HV93" s="27"/>
      <c r="HW93" s="27"/>
      <c r="HX93" s="27"/>
      <c r="HY93" s="27"/>
      <c r="HZ93" s="27"/>
      <c r="IA93" s="27"/>
      <c r="IB93" s="27"/>
      <c r="IC93" s="27"/>
      <c r="ID93" s="27"/>
      <c r="IE93" s="27"/>
      <c r="IF93" s="27"/>
      <c r="IG93" s="27"/>
      <c r="IH93" s="27"/>
      <c r="II93" s="27"/>
      <c r="IJ93" s="27"/>
      <c r="IK93" s="27"/>
      <c r="IL93" s="27"/>
      <c r="IM93" s="27"/>
      <c r="IN93" s="27"/>
      <c r="IO93" s="27"/>
      <c r="IP93" s="27"/>
      <c r="IQ93" s="27"/>
      <c r="IR93" s="27"/>
      <c r="IS93" s="27"/>
      <c r="IT93" s="27"/>
      <c r="IU93" s="27"/>
      <c r="IV93" s="27"/>
      <c r="IW93" s="27"/>
      <c r="IX93" s="27"/>
      <c r="IY93" s="27"/>
      <c r="IZ93" s="27"/>
      <c r="JA93" s="27"/>
      <c r="JB93" s="27"/>
      <c r="JC93" s="27"/>
      <c r="JD93" s="28"/>
    </row>
    <row r="94" spans="9:264" ht="7.5" customHeight="1" x14ac:dyDescent="0.25">
      <c r="I94" s="26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8"/>
      <c r="CK94" s="2"/>
      <c r="CL94" s="2"/>
      <c r="CM94" s="2"/>
      <c r="CN94" s="2"/>
      <c r="CO94" s="2"/>
      <c r="CP94" s="2"/>
      <c r="CQ94" s="2"/>
      <c r="CR94" s="2"/>
      <c r="CS94" s="26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7"/>
      <c r="EZ94" s="27"/>
      <c r="FA94" s="27"/>
      <c r="FB94" s="27"/>
      <c r="FC94" s="27"/>
      <c r="FD94" s="27"/>
      <c r="FE94" s="27"/>
      <c r="FF94" s="27"/>
      <c r="FG94" s="27"/>
      <c r="FH94" s="27"/>
      <c r="FI94" s="27"/>
      <c r="FJ94" s="27"/>
      <c r="FK94" s="27"/>
      <c r="FL94" s="27"/>
      <c r="FM94" s="27"/>
      <c r="FN94" s="27"/>
      <c r="FO94" s="27"/>
      <c r="FP94" s="27"/>
      <c r="FQ94" s="27"/>
      <c r="FR94" s="27"/>
      <c r="FS94" s="27"/>
      <c r="FT94" s="28"/>
      <c r="FU94" s="2"/>
      <c r="FV94" s="2"/>
      <c r="FW94" s="2"/>
      <c r="FX94" s="2"/>
      <c r="FY94" s="2"/>
      <c r="FZ94" s="2"/>
      <c r="GA94" s="2"/>
      <c r="GB94" s="2"/>
      <c r="GC94" s="26"/>
      <c r="GD94" s="27"/>
      <c r="GE94" s="27"/>
      <c r="GF94" s="27"/>
      <c r="GG94" s="27"/>
      <c r="GH94" s="27"/>
      <c r="GI94" s="27"/>
      <c r="GJ94" s="27"/>
      <c r="GK94" s="27"/>
      <c r="GL94" s="27"/>
      <c r="GM94" s="27"/>
      <c r="GN94" s="27"/>
      <c r="GO94" s="27"/>
      <c r="GP94" s="27"/>
      <c r="GQ94" s="27"/>
      <c r="GR94" s="27"/>
      <c r="GS94" s="27"/>
      <c r="GT94" s="27"/>
      <c r="GU94" s="27"/>
      <c r="GV94" s="27"/>
      <c r="GW94" s="27"/>
      <c r="GX94" s="27"/>
      <c r="GY94" s="27"/>
      <c r="GZ94" s="27"/>
      <c r="HA94" s="27"/>
      <c r="HB94" s="27"/>
      <c r="HC94" s="27"/>
      <c r="HD94" s="27"/>
      <c r="HE94" s="27"/>
      <c r="HF94" s="27"/>
      <c r="HG94" s="27"/>
      <c r="HH94" s="27"/>
      <c r="HI94" s="27"/>
      <c r="HJ94" s="27"/>
      <c r="HK94" s="27"/>
      <c r="HL94" s="27"/>
      <c r="HM94" s="27"/>
      <c r="HN94" s="27"/>
      <c r="HO94" s="27"/>
      <c r="HP94" s="27"/>
      <c r="HQ94" s="27"/>
      <c r="HR94" s="27"/>
      <c r="HS94" s="27"/>
      <c r="HT94" s="27"/>
      <c r="HU94" s="27"/>
      <c r="HV94" s="27"/>
      <c r="HW94" s="27"/>
      <c r="HX94" s="27"/>
      <c r="HY94" s="27"/>
      <c r="HZ94" s="27"/>
      <c r="IA94" s="27"/>
      <c r="IB94" s="27"/>
      <c r="IC94" s="27"/>
      <c r="ID94" s="27"/>
      <c r="IE94" s="27"/>
      <c r="IF94" s="27"/>
      <c r="IG94" s="27"/>
      <c r="IH94" s="27"/>
      <c r="II94" s="27"/>
      <c r="IJ94" s="27"/>
      <c r="IK94" s="27"/>
      <c r="IL94" s="27"/>
      <c r="IM94" s="27"/>
      <c r="IN94" s="27"/>
      <c r="IO94" s="27"/>
      <c r="IP94" s="27"/>
      <c r="IQ94" s="27"/>
      <c r="IR94" s="27"/>
      <c r="IS94" s="27"/>
      <c r="IT94" s="27"/>
      <c r="IU94" s="27"/>
      <c r="IV94" s="27"/>
      <c r="IW94" s="27"/>
      <c r="IX94" s="27"/>
      <c r="IY94" s="27"/>
      <c r="IZ94" s="27"/>
      <c r="JA94" s="27"/>
      <c r="JB94" s="27"/>
      <c r="JC94" s="27"/>
      <c r="JD94" s="28"/>
    </row>
    <row r="95" spans="9:264" ht="7.5" customHeight="1" x14ac:dyDescent="0.25">
      <c r="I95" s="26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8"/>
      <c r="CK95" s="2"/>
      <c r="CL95" s="2"/>
      <c r="CM95" s="2"/>
      <c r="CN95" s="2"/>
      <c r="CO95" s="2"/>
      <c r="CP95" s="2"/>
      <c r="CQ95" s="2"/>
      <c r="CR95" s="2"/>
      <c r="CS95" s="26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7"/>
      <c r="EZ95" s="27"/>
      <c r="FA95" s="27"/>
      <c r="FB95" s="27"/>
      <c r="FC95" s="27"/>
      <c r="FD95" s="27"/>
      <c r="FE95" s="27"/>
      <c r="FF95" s="27"/>
      <c r="FG95" s="27"/>
      <c r="FH95" s="27"/>
      <c r="FI95" s="27"/>
      <c r="FJ95" s="27"/>
      <c r="FK95" s="27"/>
      <c r="FL95" s="27"/>
      <c r="FM95" s="27"/>
      <c r="FN95" s="27"/>
      <c r="FO95" s="27"/>
      <c r="FP95" s="27"/>
      <c r="FQ95" s="27"/>
      <c r="FR95" s="27"/>
      <c r="FS95" s="27"/>
      <c r="FT95" s="28"/>
      <c r="FU95" s="2"/>
      <c r="FV95" s="2"/>
      <c r="FW95" s="2"/>
      <c r="FX95" s="2"/>
      <c r="FY95" s="2"/>
      <c r="FZ95" s="2"/>
      <c r="GA95" s="2"/>
      <c r="GB95" s="2"/>
      <c r="GC95" s="26"/>
      <c r="GD95" s="27"/>
      <c r="GE95" s="27"/>
      <c r="GF95" s="27"/>
      <c r="GG95" s="27"/>
      <c r="GH95" s="27"/>
      <c r="GI95" s="27"/>
      <c r="GJ95" s="27"/>
      <c r="GK95" s="27"/>
      <c r="GL95" s="27"/>
      <c r="GM95" s="27"/>
      <c r="GN95" s="27"/>
      <c r="GO95" s="27"/>
      <c r="GP95" s="27"/>
      <c r="GQ95" s="27"/>
      <c r="GR95" s="27"/>
      <c r="GS95" s="27"/>
      <c r="GT95" s="27"/>
      <c r="GU95" s="27"/>
      <c r="GV95" s="27"/>
      <c r="GW95" s="27"/>
      <c r="GX95" s="27"/>
      <c r="GY95" s="27"/>
      <c r="GZ95" s="27"/>
      <c r="HA95" s="27"/>
      <c r="HB95" s="27"/>
      <c r="HC95" s="27"/>
      <c r="HD95" s="27"/>
      <c r="HE95" s="27"/>
      <c r="HF95" s="27"/>
      <c r="HG95" s="27"/>
      <c r="HH95" s="27"/>
      <c r="HI95" s="27"/>
      <c r="HJ95" s="27"/>
      <c r="HK95" s="27"/>
      <c r="HL95" s="27"/>
      <c r="HM95" s="27"/>
      <c r="HN95" s="27"/>
      <c r="HO95" s="27"/>
      <c r="HP95" s="27"/>
      <c r="HQ95" s="27"/>
      <c r="HR95" s="27"/>
      <c r="HS95" s="27"/>
      <c r="HT95" s="27"/>
      <c r="HU95" s="27"/>
      <c r="HV95" s="27"/>
      <c r="HW95" s="27"/>
      <c r="HX95" s="27"/>
      <c r="HY95" s="27"/>
      <c r="HZ95" s="27"/>
      <c r="IA95" s="27"/>
      <c r="IB95" s="27"/>
      <c r="IC95" s="27"/>
      <c r="ID95" s="27"/>
      <c r="IE95" s="27"/>
      <c r="IF95" s="27"/>
      <c r="IG95" s="27"/>
      <c r="IH95" s="27"/>
      <c r="II95" s="27"/>
      <c r="IJ95" s="27"/>
      <c r="IK95" s="27"/>
      <c r="IL95" s="27"/>
      <c r="IM95" s="27"/>
      <c r="IN95" s="27"/>
      <c r="IO95" s="27"/>
      <c r="IP95" s="27"/>
      <c r="IQ95" s="27"/>
      <c r="IR95" s="27"/>
      <c r="IS95" s="27"/>
      <c r="IT95" s="27"/>
      <c r="IU95" s="27"/>
      <c r="IV95" s="27"/>
      <c r="IW95" s="27"/>
      <c r="IX95" s="27"/>
      <c r="IY95" s="27"/>
      <c r="IZ95" s="27"/>
      <c r="JA95" s="27"/>
      <c r="JB95" s="27"/>
      <c r="JC95" s="27"/>
      <c r="JD95" s="28"/>
    </row>
    <row r="96" spans="9:264" ht="7.5" customHeight="1" x14ac:dyDescent="0.25">
      <c r="I96" s="26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8"/>
      <c r="CP96" s="2"/>
      <c r="CQ96" s="2"/>
      <c r="CR96" s="2"/>
      <c r="CS96" s="26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7"/>
      <c r="EZ96" s="27"/>
      <c r="FA96" s="27"/>
      <c r="FB96" s="27"/>
      <c r="FC96" s="27"/>
      <c r="FD96" s="27"/>
      <c r="FE96" s="27"/>
      <c r="FF96" s="27"/>
      <c r="FG96" s="27"/>
      <c r="FH96" s="27"/>
      <c r="FI96" s="27"/>
      <c r="FJ96" s="27"/>
      <c r="FK96" s="27"/>
      <c r="FL96" s="27"/>
      <c r="FM96" s="27"/>
      <c r="FN96" s="27"/>
      <c r="FO96" s="27"/>
      <c r="FP96" s="27"/>
      <c r="FQ96" s="27"/>
      <c r="FR96" s="27"/>
      <c r="FS96" s="27"/>
      <c r="FT96" s="28"/>
      <c r="GC96" s="26"/>
      <c r="GD96" s="27"/>
      <c r="GE96" s="27"/>
      <c r="GF96" s="27"/>
      <c r="GG96" s="27"/>
      <c r="GH96" s="27"/>
      <c r="GI96" s="27"/>
      <c r="GJ96" s="27"/>
      <c r="GK96" s="27"/>
      <c r="GL96" s="27"/>
      <c r="GM96" s="27"/>
      <c r="GN96" s="27"/>
      <c r="GO96" s="27"/>
      <c r="GP96" s="27"/>
      <c r="GQ96" s="27"/>
      <c r="GR96" s="27"/>
      <c r="GS96" s="27"/>
      <c r="GT96" s="27"/>
      <c r="GU96" s="27"/>
      <c r="GV96" s="27"/>
      <c r="GW96" s="27"/>
      <c r="GX96" s="27"/>
      <c r="GY96" s="27"/>
      <c r="GZ96" s="27"/>
      <c r="HA96" s="27"/>
      <c r="HB96" s="27"/>
      <c r="HC96" s="27"/>
      <c r="HD96" s="27"/>
      <c r="HE96" s="27"/>
      <c r="HF96" s="27"/>
      <c r="HG96" s="27"/>
      <c r="HH96" s="27"/>
      <c r="HI96" s="27"/>
      <c r="HJ96" s="27"/>
      <c r="HK96" s="27"/>
      <c r="HL96" s="27"/>
      <c r="HM96" s="27"/>
      <c r="HN96" s="27"/>
      <c r="HO96" s="27"/>
      <c r="HP96" s="27"/>
      <c r="HQ96" s="27"/>
      <c r="HR96" s="27"/>
      <c r="HS96" s="27"/>
      <c r="HT96" s="27"/>
      <c r="HU96" s="27"/>
      <c r="HV96" s="27"/>
      <c r="HW96" s="27"/>
      <c r="HX96" s="27"/>
      <c r="HY96" s="27"/>
      <c r="HZ96" s="27"/>
      <c r="IA96" s="27"/>
      <c r="IB96" s="27"/>
      <c r="IC96" s="27"/>
      <c r="ID96" s="27"/>
      <c r="IE96" s="27"/>
      <c r="IF96" s="27"/>
      <c r="IG96" s="27"/>
      <c r="IH96" s="27"/>
      <c r="II96" s="27"/>
      <c r="IJ96" s="27"/>
      <c r="IK96" s="27"/>
      <c r="IL96" s="27"/>
      <c r="IM96" s="27"/>
      <c r="IN96" s="27"/>
      <c r="IO96" s="27"/>
      <c r="IP96" s="27"/>
      <c r="IQ96" s="27"/>
      <c r="IR96" s="27"/>
      <c r="IS96" s="27"/>
      <c r="IT96" s="27"/>
      <c r="IU96" s="27"/>
      <c r="IV96" s="27"/>
      <c r="IW96" s="27"/>
      <c r="IX96" s="27"/>
      <c r="IY96" s="27"/>
      <c r="IZ96" s="27"/>
      <c r="JA96" s="27"/>
      <c r="JB96" s="27"/>
      <c r="JC96" s="27"/>
      <c r="JD96" s="28"/>
    </row>
    <row r="97" spans="9:264" ht="7.5" customHeight="1" x14ac:dyDescent="0.25">
      <c r="I97" s="26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8"/>
      <c r="CP97" s="2"/>
      <c r="CQ97" s="2"/>
      <c r="CR97" s="2"/>
      <c r="CS97" s="26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7"/>
      <c r="EZ97" s="27"/>
      <c r="FA97" s="27"/>
      <c r="FB97" s="27"/>
      <c r="FC97" s="27"/>
      <c r="FD97" s="27"/>
      <c r="FE97" s="27"/>
      <c r="FF97" s="27"/>
      <c r="FG97" s="27"/>
      <c r="FH97" s="27"/>
      <c r="FI97" s="27"/>
      <c r="FJ97" s="27"/>
      <c r="FK97" s="27"/>
      <c r="FL97" s="27"/>
      <c r="FM97" s="27"/>
      <c r="FN97" s="27"/>
      <c r="FO97" s="27"/>
      <c r="FP97" s="27"/>
      <c r="FQ97" s="27"/>
      <c r="FR97" s="27"/>
      <c r="FS97" s="27"/>
      <c r="FT97" s="28"/>
      <c r="GC97" s="26"/>
      <c r="GD97" s="27"/>
      <c r="GE97" s="27"/>
      <c r="GF97" s="27"/>
      <c r="GG97" s="27"/>
      <c r="GH97" s="27"/>
      <c r="GI97" s="27"/>
      <c r="GJ97" s="27"/>
      <c r="GK97" s="27"/>
      <c r="GL97" s="27"/>
      <c r="GM97" s="27"/>
      <c r="GN97" s="27"/>
      <c r="GO97" s="27"/>
      <c r="GP97" s="27"/>
      <c r="GQ97" s="27"/>
      <c r="GR97" s="27"/>
      <c r="GS97" s="27"/>
      <c r="GT97" s="27"/>
      <c r="GU97" s="27"/>
      <c r="GV97" s="27"/>
      <c r="GW97" s="27"/>
      <c r="GX97" s="27"/>
      <c r="GY97" s="27"/>
      <c r="GZ97" s="27"/>
      <c r="HA97" s="27"/>
      <c r="HB97" s="27"/>
      <c r="HC97" s="27"/>
      <c r="HD97" s="27"/>
      <c r="HE97" s="27"/>
      <c r="HF97" s="27"/>
      <c r="HG97" s="27"/>
      <c r="HH97" s="27"/>
      <c r="HI97" s="27"/>
      <c r="HJ97" s="27"/>
      <c r="HK97" s="27"/>
      <c r="HL97" s="27"/>
      <c r="HM97" s="27"/>
      <c r="HN97" s="27"/>
      <c r="HO97" s="27"/>
      <c r="HP97" s="27"/>
      <c r="HQ97" s="27"/>
      <c r="HR97" s="27"/>
      <c r="HS97" s="27"/>
      <c r="HT97" s="27"/>
      <c r="HU97" s="27"/>
      <c r="HV97" s="27"/>
      <c r="HW97" s="27"/>
      <c r="HX97" s="27"/>
      <c r="HY97" s="27"/>
      <c r="HZ97" s="27"/>
      <c r="IA97" s="27"/>
      <c r="IB97" s="27"/>
      <c r="IC97" s="27"/>
      <c r="ID97" s="27"/>
      <c r="IE97" s="27"/>
      <c r="IF97" s="27"/>
      <c r="IG97" s="27"/>
      <c r="IH97" s="27"/>
      <c r="II97" s="27"/>
      <c r="IJ97" s="27"/>
      <c r="IK97" s="27"/>
      <c r="IL97" s="27"/>
      <c r="IM97" s="27"/>
      <c r="IN97" s="27"/>
      <c r="IO97" s="27"/>
      <c r="IP97" s="27"/>
      <c r="IQ97" s="27"/>
      <c r="IR97" s="27"/>
      <c r="IS97" s="27"/>
      <c r="IT97" s="27"/>
      <c r="IU97" s="27"/>
      <c r="IV97" s="27"/>
      <c r="IW97" s="27"/>
      <c r="IX97" s="27"/>
      <c r="IY97" s="27"/>
      <c r="IZ97" s="27"/>
      <c r="JA97" s="27"/>
      <c r="JB97" s="27"/>
      <c r="JC97" s="27"/>
      <c r="JD97" s="28"/>
    </row>
    <row r="98" spans="9:264" ht="7.5" customHeight="1" x14ac:dyDescent="0.25">
      <c r="I98" s="26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8"/>
      <c r="CP98" s="2"/>
      <c r="CQ98" s="2"/>
      <c r="CR98" s="2"/>
      <c r="CS98" s="26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7"/>
      <c r="EZ98" s="27"/>
      <c r="FA98" s="27"/>
      <c r="FB98" s="27"/>
      <c r="FC98" s="27"/>
      <c r="FD98" s="27"/>
      <c r="FE98" s="27"/>
      <c r="FF98" s="27"/>
      <c r="FG98" s="27"/>
      <c r="FH98" s="27"/>
      <c r="FI98" s="27"/>
      <c r="FJ98" s="27"/>
      <c r="FK98" s="27"/>
      <c r="FL98" s="27"/>
      <c r="FM98" s="27"/>
      <c r="FN98" s="27"/>
      <c r="FO98" s="27"/>
      <c r="FP98" s="27"/>
      <c r="FQ98" s="27"/>
      <c r="FR98" s="27"/>
      <c r="FS98" s="27"/>
      <c r="FT98" s="28"/>
      <c r="GC98" s="26"/>
      <c r="GD98" s="27"/>
      <c r="GE98" s="27"/>
      <c r="GF98" s="27"/>
      <c r="GG98" s="27"/>
      <c r="GH98" s="27"/>
      <c r="GI98" s="27"/>
      <c r="GJ98" s="27"/>
      <c r="GK98" s="27"/>
      <c r="GL98" s="27"/>
      <c r="GM98" s="27"/>
      <c r="GN98" s="27"/>
      <c r="GO98" s="27"/>
      <c r="GP98" s="27"/>
      <c r="GQ98" s="27"/>
      <c r="GR98" s="27"/>
      <c r="GS98" s="27"/>
      <c r="GT98" s="27"/>
      <c r="GU98" s="27"/>
      <c r="GV98" s="27"/>
      <c r="GW98" s="27"/>
      <c r="GX98" s="27"/>
      <c r="GY98" s="27"/>
      <c r="GZ98" s="27"/>
      <c r="HA98" s="27"/>
      <c r="HB98" s="27"/>
      <c r="HC98" s="27"/>
      <c r="HD98" s="27"/>
      <c r="HE98" s="27"/>
      <c r="HF98" s="27"/>
      <c r="HG98" s="27"/>
      <c r="HH98" s="27"/>
      <c r="HI98" s="27"/>
      <c r="HJ98" s="27"/>
      <c r="HK98" s="27"/>
      <c r="HL98" s="27"/>
      <c r="HM98" s="27"/>
      <c r="HN98" s="27"/>
      <c r="HO98" s="27"/>
      <c r="HP98" s="27"/>
      <c r="HQ98" s="27"/>
      <c r="HR98" s="27"/>
      <c r="HS98" s="27"/>
      <c r="HT98" s="27"/>
      <c r="HU98" s="27"/>
      <c r="HV98" s="27"/>
      <c r="HW98" s="27"/>
      <c r="HX98" s="27"/>
      <c r="HY98" s="27"/>
      <c r="HZ98" s="27"/>
      <c r="IA98" s="27"/>
      <c r="IB98" s="27"/>
      <c r="IC98" s="27"/>
      <c r="ID98" s="27"/>
      <c r="IE98" s="27"/>
      <c r="IF98" s="27"/>
      <c r="IG98" s="27"/>
      <c r="IH98" s="27"/>
      <c r="II98" s="27"/>
      <c r="IJ98" s="27"/>
      <c r="IK98" s="27"/>
      <c r="IL98" s="27"/>
      <c r="IM98" s="27"/>
      <c r="IN98" s="27"/>
      <c r="IO98" s="27"/>
      <c r="IP98" s="27"/>
      <c r="IQ98" s="27"/>
      <c r="IR98" s="27"/>
      <c r="IS98" s="27"/>
      <c r="IT98" s="27"/>
      <c r="IU98" s="27"/>
      <c r="IV98" s="27"/>
      <c r="IW98" s="27"/>
      <c r="IX98" s="27"/>
      <c r="IY98" s="27"/>
      <c r="IZ98" s="27"/>
      <c r="JA98" s="27"/>
      <c r="JB98" s="27"/>
      <c r="JC98" s="27"/>
      <c r="JD98" s="28"/>
    </row>
    <row r="99" spans="9:264" ht="7.5" customHeight="1" x14ac:dyDescent="0.25">
      <c r="I99" s="26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8"/>
      <c r="CP99" s="2"/>
      <c r="CQ99" s="2"/>
      <c r="CR99" s="2"/>
      <c r="CS99" s="26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7"/>
      <c r="EZ99" s="27"/>
      <c r="FA99" s="27"/>
      <c r="FB99" s="27"/>
      <c r="FC99" s="27"/>
      <c r="FD99" s="27"/>
      <c r="FE99" s="27"/>
      <c r="FF99" s="27"/>
      <c r="FG99" s="27"/>
      <c r="FH99" s="27"/>
      <c r="FI99" s="27"/>
      <c r="FJ99" s="27"/>
      <c r="FK99" s="27"/>
      <c r="FL99" s="27"/>
      <c r="FM99" s="27"/>
      <c r="FN99" s="27"/>
      <c r="FO99" s="27"/>
      <c r="FP99" s="27"/>
      <c r="FQ99" s="27"/>
      <c r="FR99" s="27"/>
      <c r="FS99" s="27"/>
      <c r="FT99" s="28"/>
      <c r="GC99" s="26"/>
      <c r="GD99" s="27"/>
      <c r="GE99" s="27"/>
      <c r="GF99" s="27"/>
      <c r="GG99" s="27"/>
      <c r="GH99" s="27"/>
      <c r="GI99" s="27"/>
      <c r="GJ99" s="27"/>
      <c r="GK99" s="27"/>
      <c r="GL99" s="27"/>
      <c r="GM99" s="27"/>
      <c r="GN99" s="27"/>
      <c r="GO99" s="27"/>
      <c r="GP99" s="27"/>
      <c r="GQ99" s="27"/>
      <c r="GR99" s="27"/>
      <c r="GS99" s="27"/>
      <c r="GT99" s="27"/>
      <c r="GU99" s="27"/>
      <c r="GV99" s="27"/>
      <c r="GW99" s="27"/>
      <c r="GX99" s="27"/>
      <c r="GY99" s="27"/>
      <c r="GZ99" s="27"/>
      <c r="HA99" s="27"/>
      <c r="HB99" s="27"/>
      <c r="HC99" s="27"/>
      <c r="HD99" s="27"/>
      <c r="HE99" s="27"/>
      <c r="HF99" s="27"/>
      <c r="HG99" s="27"/>
      <c r="HH99" s="27"/>
      <c r="HI99" s="27"/>
      <c r="HJ99" s="27"/>
      <c r="HK99" s="27"/>
      <c r="HL99" s="27"/>
      <c r="HM99" s="27"/>
      <c r="HN99" s="27"/>
      <c r="HO99" s="27"/>
      <c r="HP99" s="27"/>
      <c r="HQ99" s="27"/>
      <c r="HR99" s="27"/>
      <c r="HS99" s="27"/>
      <c r="HT99" s="27"/>
      <c r="HU99" s="27"/>
      <c r="HV99" s="27"/>
      <c r="HW99" s="27"/>
      <c r="HX99" s="27"/>
      <c r="HY99" s="27"/>
      <c r="HZ99" s="27"/>
      <c r="IA99" s="27"/>
      <c r="IB99" s="27"/>
      <c r="IC99" s="27"/>
      <c r="ID99" s="27"/>
      <c r="IE99" s="27"/>
      <c r="IF99" s="27"/>
      <c r="IG99" s="27"/>
      <c r="IH99" s="27"/>
      <c r="II99" s="27"/>
      <c r="IJ99" s="27"/>
      <c r="IK99" s="27"/>
      <c r="IL99" s="27"/>
      <c r="IM99" s="27"/>
      <c r="IN99" s="27"/>
      <c r="IO99" s="27"/>
      <c r="IP99" s="27"/>
      <c r="IQ99" s="27"/>
      <c r="IR99" s="27"/>
      <c r="IS99" s="27"/>
      <c r="IT99" s="27"/>
      <c r="IU99" s="27"/>
      <c r="IV99" s="27"/>
      <c r="IW99" s="27"/>
      <c r="IX99" s="27"/>
      <c r="IY99" s="27"/>
      <c r="IZ99" s="27"/>
      <c r="JA99" s="27"/>
      <c r="JB99" s="27"/>
      <c r="JC99" s="27"/>
      <c r="JD99" s="28"/>
    </row>
    <row r="100" spans="9:264" ht="7.5" customHeight="1" x14ac:dyDescent="0.25">
      <c r="I100" s="26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8"/>
      <c r="CP100" s="2"/>
      <c r="CQ100" s="2"/>
      <c r="CR100" s="2"/>
      <c r="CS100" s="26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7"/>
      <c r="EZ100" s="27"/>
      <c r="FA100" s="27"/>
      <c r="FB100" s="27"/>
      <c r="FC100" s="27"/>
      <c r="FD100" s="27"/>
      <c r="FE100" s="27"/>
      <c r="FF100" s="27"/>
      <c r="FG100" s="27"/>
      <c r="FH100" s="27"/>
      <c r="FI100" s="27"/>
      <c r="FJ100" s="27"/>
      <c r="FK100" s="27"/>
      <c r="FL100" s="27"/>
      <c r="FM100" s="27"/>
      <c r="FN100" s="27"/>
      <c r="FO100" s="27"/>
      <c r="FP100" s="27"/>
      <c r="FQ100" s="27"/>
      <c r="FR100" s="27"/>
      <c r="FS100" s="27"/>
      <c r="FT100" s="28"/>
      <c r="GC100" s="26"/>
      <c r="GD100" s="27"/>
      <c r="GE100" s="27"/>
      <c r="GF100" s="27"/>
      <c r="GG100" s="27"/>
      <c r="GH100" s="27"/>
      <c r="GI100" s="27"/>
      <c r="GJ100" s="27"/>
      <c r="GK100" s="27"/>
      <c r="GL100" s="27"/>
      <c r="GM100" s="27"/>
      <c r="GN100" s="27"/>
      <c r="GO100" s="27"/>
      <c r="GP100" s="27"/>
      <c r="GQ100" s="27"/>
      <c r="GR100" s="27"/>
      <c r="GS100" s="27"/>
      <c r="GT100" s="27"/>
      <c r="GU100" s="27"/>
      <c r="GV100" s="27"/>
      <c r="GW100" s="27"/>
      <c r="GX100" s="27"/>
      <c r="GY100" s="27"/>
      <c r="GZ100" s="27"/>
      <c r="HA100" s="27"/>
      <c r="HB100" s="27"/>
      <c r="HC100" s="27"/>
      <c r="HD100" s="27"/>
      <c r="HE100" s="27"/>
      <c r="HF100" s="27"/>
      <c r="HG100" s="27"/>
      <c r="HH100" s="27"/>
      <c r="HI100" s="27"/>
      <c r="HJ100" s="27"/>
      <c r="HK100" s="27"/>
      <c r="HL100" s="27"/>
      <c r="HM100" s="27"/>
      <c r="HN100" s="27"/>
      <c r="HO100" s="27"/>
      <c r="HP100" s="27"/>
      <c r="HQ100" s="27"/>
      <c r="HR100" s="27"/>
      <c r="HS100" s="27"/>
      <c r="HT100" s="27"/>
      <c r="HU100" s="27"/>
      <c r="HV100" s="27"/>
      <c r="HW100" s="27"/>
      <c r="HX100" s="27"/>
      <c r="HY100" s="27"/>
      <c r="HZ100" s="27"/>
      <c r="IA100" s="27"/>
      <c r="IB100" s="27"/>
      <c r="IC100" s="27"/>
      <c r="ID100" s="27"/>
      <c r="IE100" s="27"/>
      <c r="IF100" s="27"/>
      <c r="IG100" s="27"/>
      <c r="IH100" s="27"/>
      <c r="II100" s="27"/>
      <c r="IJ100" s="27"/>
      <c r="IK100" s="27"/>
      <c r="IL100" s="27"/>
      <c r="IM100" s="27"/>
      <c r="IN100" s="27"/>
      <c r="IO100" s="27"/>
      <c r="IP100" s="27"/>
      <c r="IQ100" s="27"/>
      <c r="IR100" s="27"/>
      <c r="IS100" s="27"/>
      <c r="IT100" s="27"/>
      <c r="IU100" s="27"/>
      <c r="IV100" s="27"/>
      <c r="IW100" s="27"/>
      <c r="IX100" s="27"/>
      <c r="IY100" s="27"/>
      <c r="IZ100" s="27"/>
      <c r="JA100" s="27"/>
      <c r="JB100" s="27"/>
      <c r="JC100" s="27"/>
      <c r="JD100" s="28"/>
    </row>
    <row r="101" spans="9:264" ht="7.5" customHeight="1" x14ac:dyDescent="0.25">
      <c r="I101" s="26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8"/>
      <c r="CP101" s="2"/>
      <c r="CQ101" s="2"/>
      <c r="CR101" s="2"/>
      <c r="CS101" s="26"/>
      <c r="CT101" s="27"/>
      <c r="CU101" s="27"/>
      <c r="CV101" s="27"/>
      <c r="CW101" s="27"/>
      <c r="CX101" s="27"/>
      <c r="CY101" s="27"/>
      <c r="CZ101" s="27"/>
      <c r="DA101" s="27"/>
      <c r="DB101" s="27"/>
      <c r="DC101" s="27"/>
      <c r="DD101" s="27"/>
      <c r="DE101" s="27"/>
      <c r="DF101" s="27"/>
      <c r="DG101" s="27"/>
      <c r="DH101" s="27"/>
      <c r="DI101" s="27"/>
      <c r="DJ101" s="27"/>
      <c r="DK101" s="27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  <c r="EJ101" s="27"/>
      <c r="EK101" s="27"/>
      <c r="EL101" s="27"/>
      <c r="EM101" s="27"/>
      <c r="EN101" s="27"/>
      <c r="EO101" s="27"/>
      <c r="EP101" s="27"/>
      <c r="EQ101" s="27"/>
      <c r="ER101" s="27"/>
      <c r="ES101" s="27"/>
      <c r="ET101" s="27"/>
      <c r="EU101" s="27"/>
      <c r="EV101" s="27"/>
      <c r="EW101" s="27"/>
      <c r="EX101" s="27"/>
      <c r="EY101" s="27"/>
      <c r="EZ101" s="27"/>
      <c r="FA101" s="27"/>
      <c r="FB101" s="27"/>
      <c r="FC101" s="27"/>
      <c r="FD101" s="27"/>
      <c r="FE101" s="27"/>
      <c r="FF101" s="27"/>
      <c r="FG101" s="27"/>
      <c r="FH101" s="27"/>
      <c r="FI101" s="27"/>
      <c r="FJ101" s="27"/>
      <c r="FK101" s="27"/>
      <c r="FL101" s="27"/>
      <c r="FM101" s="27"/>
      <c r="FN101" s="27"/>
      <c r="FO101" s="27"/>
      <c r="FP101" s="27"/>
      <c r="FQ101" s="27"/>
      <c r="FR101" s="27"/>
      <c r="FS101" s="27"/>
      <c r="FT101" s="28"/>
      <c r="GC101" s="26"/>
      <c r="GD101" s="27"/>
      <c r="GE101" s="27"/>
      <c r="GF101" s="27"/>
      <c r="GG101" s="27"/>
      <c r="GH101" s="27"/>
      <c r="GI101" s="27"/>
      <c r="GJ101" s="27"/>
      <c r="GK101" s="27"/>
      <c r="GL101" s="27"/>
      <c r="GM101" s="27"/>
      <c r="GN101" s="27"/>
      <c r="GO101" s="27"/>
      <c r="GP101" s="27"/>
      <c r="GQ101" s="27"/>
      <c r="GR101" s="27"/>
      <c r="GS101" s="27"/>
      <c r="GT101" s="27"/>
      <c r="GU101" s="27"/>
      <c r="GV101" s="27"/>
      <c r="GW101" s="27"/>
      <c r="GX101" s="27"/>
      <c r="GY101" s="27"/>
      <c r="GZ101" s="27"/>
      <c r="HA101" s="27"/>
      <c r="HB101" s="27"/>
      <c r="HC101" s="27"/>
      <c r="HD101" s="27"/>
      <c r="HE101" s="27"/>
      <c r="HF101" s="27"/>
      <c r="HG101" s="27"/>
      <c r="HH101" s="27"/>
      <c r="HI101" s="27"/>
      <c r="HJ101" s="27"/>
      <c r="HK101" s="27"/>
      <c r="HL101" s="27"/>
      <c r="HM101" s="27"/>
      <c r="HN101" s="27"/>
      <c r="HO101" s="27"/>
      <c r="HP101" s="27"/>
      <c r="HQ101" s="27"/>
      <c r="HR101" s="27"/>
      <c r="HS101" s="27"/>
      <c r="HT101" s="27"/>
      <c r="HU101" s="27"/>
      <c r="HV101" s="27"/>
      <c r="HW101" s="27"/>
      <c r="HX101" s="27"/>
      <c r="HY101" s="27"/>
      <c r="HZ101" s="27"/>
      <c r="IA101" s="27"/>
      <c r="IB101" s="27"/>
      <c r="IC101" s="27"/>
      <c r="ID101" s="27"/>
      <c r="IE101" s="27"/>
      <c r="IF101" s="27"/>
      <c r="IG101" s="27"/>
      <c r="IH101" s="27"/>
      <c r="II101" s="27"/>
      <c r="IJ101" s="27"/>
      <c r="IK101" s="27"/>
      <c r="IL101" s="27"/>
      <c r="IM101" s="27"/>
      <c r="IN101" s="27"/>
      <c r="IO101" s="27"/>
      <c r="IP101" s="27"/>
      <c r="IQ101" s="27"/>
      <c r="IR101" s="27"/>
      <c r="IS101" s="27"/>
      <c r="IT101" s="27"/>
      <c r="IU101" s="27"/>
      <c r="IV101" s="27"/>
      <c r="IW101" s="27"/>
      <c r="IX101" s="27"/>
      <c r="IY101" s="27"/>
      <c r="IZ101" s="27"/>
      <c r="JA101" s="27"/>
      <c r="JB101" s="27"/>
      <c r="JC101" s="27"/>
      <c r="JD101" s="28"/>
    </row>
    <row r="102" spans="9:264" ht="7.5" customHeight="1" x14ac:dyDescent="0.25">
      <c r="I102" s="26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8"/>
      <c r="CP102" s="2"/>
      <c r="CQ102" s="2"/>
      <c r="CR102" s="2"/>
      <c r="CS102" s="26"/>
      <c r="CT102" s="27"/>
      <c r="CU102" s="27"/>
      <c r="CV102" s="27"/>
      <c r="CW102" s="27"/>
      <c r="CX102" s="27"/>
      <c r="CY102" s="27"/>
      <c r="CZ102" s="27"/>
      <c r="DA102" s="27"/>
      <c r="DB102" s="27"/>
      <c r="DC102" s="27"/>
      <c r="DD102" s="27"/>
      <c r="DE102" s="27"/>
      <c r="DF102" s="27"/>
      <c r="DG102" s="27"/>
      <c r="DH102" s="27"/>
      <c r="DI102" s="27"/>
      <c r="DJ102" s="27"/>
      <c r="DK102" s="27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  <c r="EJ102" s="27"/>
      <c r="EK102" s="27"/>
      <c r="EL102" s="27"/>
      <c r="EM102" s="27"/>
      <c r="EN102" s="27"/>
      <c r="EO102" s="27"/>
      <c r="EP102" s="27"/>
      <c r="EQ102" s="27"/>
      <c r="ER102" s="27"/>
      <c r="ES102" s="27"/>
      <c r="ET102" s="27"/>
      <c r="EU102" s="27"/>
      <c r="EV102" s="27"/>
      <c r="EW102" s="27"/>
      <c r="EX102" s="27"/>
      <c r="EY102" s="27"/>
      <c r="EZ102" s="27"/>
      <c r="FA102" s="27"/>
      <c r="FB102" s="27"/>
      <c r="FC102" s="27"/>
      <c r="FD102" s="27"/>
      <c r="FE102" s="27"/>
      <c r="FF102" s="27"/>
      <c r="FG102" s="27"/>
      <c r="FH102" s="27"/>
      <c r="FI102" s="27"/>
      <c r="FJ102" s="27"/>
      <c r="FK102" s="27"/>
      <c r="FL102" s="27"/>
      <c r="FM102" s="27"/>
      <c r="FN102" s="27"/>
      <c r="FO102" s="27"/>
      <c r="FP102" s="27"/>
      <c r="FQ102" s="27"/>
      <c r="FR102" s="27"/>
      <c r="FS102" s="27"/>
      <c r="FT102" s="28"/>
      <c r="GC102" s="26"/>
      <c r="GD102" s="27"/>
      <c r="GE102" s="27"/>
      <c r="GF102" s="27"/>
      <c r="GG102" s="27"/>
      <c r="GH102" s="27"/>
      <c r="GI102" s="27"/>
      <c r="GJ102" s="27"/>
      <c r="GK102" s="27"/>
      <c r="GL102" s="27"/>
      <c r="GM102" s="27"/>
      <c r="GN102" s="27"/>
      <c r="GO102" s="27"/>
      <c r="GP102" s="27"/>
      <c r="GQ102" s="27"/>
      <c r="GR102" s="27"/>
      <c r="GS102" s="27"/>
      <c r="GT102" s="27"/>
      <c r="GU102" s="27"/>
      <c r="GV102" s="27"/>
      <c r="GW102" s="27"/>
      <c r="GX102" s="27"/>
      <c r="GY102" s="27"/>
      <c r="GZ102" s="27"/>
      <c r="HA102" s="27"/>
      <c r="HB102" s="27"/>
      <c r="HC102" s="27"/>
      <c r="HD102" s="27"/>
      <c r="HE102" s="27"/>
      <c r="HF102" s="27"/>
      <c r="HG102" s="27"/>
      <c r="HH102" s="27"/>
      <c r="HI102" s="27"/>
      <c r="HJ102" s="27"/>
      <c r="HK102" s="27"/>
      <c r="HL102" s="27"/>
      <c r="HM102" s="27"/>
      <c r="HN102" s="27"/>
      <c r="HO102" s="27"/>
      <c r="HP102" s="27"/>
      <c r="HQ102" s="27"/>
      <c r="HR102" s="27"/>
      <c r="HS102" s="27"/>
      <c r="HT102" s="27"/>
      <c r="HU102" s="27"/>
      <c r="HV102" s="27"/>
      <c r="HW102" s="27"/>
      <c r="HX102" s="27"/>
      <c r="HY102" s="27"/>
      <c r="HZ102" s="27"/>
      <c r="IA102" s="27"/>
      <c r="IB102" s="27"/>
      <c r="IC102" s="27"/>
      <c r="ID102" s="27"/>
      <c r="IE102" s="27"/>
      <c r="IF102" s="27"/>
      <c r="IG102" s="27"/>
      <c r="IH102" s="27"/>
      <c r="II102" s="27"/>
      <c r="IJ102" s="27"/>
      <c r="IK102" s="27"/>
      <c r="IL102" s="27"/>
      <c r="IM102" s="27"/>
      <c r="IN102" s="27"/>
      <c r="IO102" s="27"/>
      <c r="IP102" s="27"/>
      <c r="IQ102" s="27"/>
      <c r="IR102" s="27"/>
      <c r="IS102" s="27"/>
      <c r="IT102" s="27"/>
      <c r="IU102" s="27"/>
      <c r="IV102" s="27"/>
      <c r="IW102" s="27"/>
      <c r="IX102" s="27"/>
      <c r="IY102" s="27"/>
      <c r="IZ102" s="27"/>
      <c r="JA102" s="27"/>
      <c r="JB102" s="27"/>
      <c r="JC102" s="27"/>
      <c r="JD102" s="28"/>
    </row>
    <row r="103" spans="9:264" ht="7.5" customHeight="1" x14ac:dyDescent="0.25">
      <c r="I103" s="26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8"/>
      <c r="CP103" s="2"/>
      <c r="CQ103" s="2"/>
      <c r="CR103" s="2"/>
      <c r="CS103" s="26"/>
      <c r="CT103" s="27"/>
      <c r="CU103" s="27"/>
      <c r="CV103" s="27"/>
      <c r="CW103" s="27"/>
      <c r="CX103" s="27"/>
      <c r="CY103" s="27"/>
      <c r="CZ103" s="27"/>
      <c r="DA103" s="27"/>
      <c r="DB103" s="27"/>
      <c r="DC103" s="27"/>
      <c r="DD103" s="27"/>
      <c r="DE103" s="27"/>
      <c r="DF103" s="27"/>
      <c r="DG103" s="27"/>
      <c r="DH103" s="27"/>
      <c r="DI103" s="27"/>
      <c r="DJ103" s="27"/>
      <c r="DK103" s="27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  <c r="EJ103" s="27"/>
      <c r="EK103" s="27"/>
      <c r="EL103" s="27"/>
      <c r="EM103" s="27"/>
      <c r="EN103" s="27"/>
      <c r="EO103" s="27"/>
      <c r="EP103" s="27"/>
      <c r="EQ103" s="27"/>
      <c r="ER103" s="27"/>
      <c r="ES103" s="27"/>
      <c r="ET103" s="27"/>
      <c r="EU103" s="27"/>
      <c r="EV103" s="27"/>
      <c r="EW103" s="27"/>
      <c r="EX103" s="27"/>
      <c r="EY103" s="27"/>
      <c r="EZ103" s="27"/>
      <c r="FA103" s="27"/>
      <c r="FB103" s="27"/>
      <c r="FC103" s="27"/>
      <c r="FD103" s="27"/>
      <c r="FE103" s="27"/>
      <c r="FF103" s="27"/>
      <c r="FG103" s="27"/>
      <c r="FH103" s="27"/>
      <c r="FI103" s="27"/>
      <c r="FJ103" s="27"/>
      <c r="FK103" s="27"/>
      <c r="FL103" s="27"/>
      <c r="FM103" s="27"/>
      <c r="FN103" s="27"/>
      <c r="FO103" s="27"/>
      <c r="FP103" s="27"/>
      <c r="FQ103" s="27"/>
      <c r="FR103" s="27"/>
      <c r="FS103" s="27"/>
      <c r="FT103" s="28"/>
      <c r="GC103" s="26"/>
      <c r="GD103" s="27"/>
      <c r="GE103" s="27"/>
      <c r="GF103" s="27"/>
      <c r="GG103" s="27"/>
      <c r="GH103" s="27"/>
      <c r="GI103" s="27"/>
      <c r="GJ103" s="27"/>
      <c r="GK103" s="27"/>
      <c r="GL103" s="27"/>
      <c r="GM103" s="27"/>
      <c r="GN103" s="27"/>
      <c r="GO103" s="27"/>
      <c r="GP103" s="27"/>
      <c r="GQ103" s="27"/>
      <c r="GR103" s="27"/>
      <c r="GS103" s="27"/>
      <c r="GT103" s="27"/>
      <c r="GU103" s="27"/>
      <c r="GV103" s="27"/>
      <c r="GW103" s="27"/>
      <c r="GX103" s="27"/>
      <c r="GY103" s="27"/>
      <c r="GZ103" s="27"/>
      <c r="HA103" s="27"/>
      <c r="HB103" s="27"/>
      <c r="HC103" s="27"/>
      <c r="HD103" s="27"/>
      <c r="HE103" s="27"/>
      <c r="HF103" s="27"/>
      <c r="HG103" s="27"/>
      <c r="HH103" s="27"/>
      <c r="HI103" s="27"/>
      <c r="HJ103" s="27"/>
      <c r="HK103" s="27"/>
      <c r="HL103" s="27"/>
      <c r="HM103" s="27"/>
      <c r="HN103" s="27"/>
      <c r="HO103" s="27"/>
      <c r="HP103" s="27"/>
      <c r="HQ103" s="27"/>
      <c r="HR103" s="27"/>
      <c r="HS103" s="27"/>
      <c r="HT103" s="27"/>
      <c r="HU103" s="27"/>
      <c r="HV103" s="27"/>
      <c r="HW103" s="27"/>
      <c r="HX103" s="27"/>
      <c r="HY103" s="27"/>
      <c r="HZ103" s="27"/>
      <c r="IA103" s="27"/>
      <c r="IB103" s="27"/>
      <c r="IC103" s="27"/>
      <c r="ID103" s="27"/>
      <c r="IE103" s="27"/>
      <c r="IF103" s="27"/>
      <c r="IG103" s="27"/>
      <c r="IH103" s="27"/>
      <c r="II103" s="27"/>
      <c r="IJ103" s="27"/>
      <c r="IK103" s="27"/>
      <c r="IL103" s="27"/>
      <c r="IM103" s="27"/>
      <c r="IN103" s="27"/>
      <c r="IO103" s="27"/>
      <c r="IP103" s="27"/>
      <c r="IQ103" s="27"/>
      <c r="IR103" s="27"/>
      <c r="IS103" s="27"/>
      <c r="IT103" s="27"/>
      <c r="IU103" s="27"/>
      <c r="IV103" s="27"/>
      <c r="IW103" s="27"/>
      <c r="IX103" s="27"/>
      <c r="IY103" s="27"/>
      <c r="IZ103" s="27"/>
      <c r="JA103" s="27"/>
      <c r="JB103" s="27"/>
      <c r="JC103" s="27"/>
      <c r="JD103" s="28"/>
    </row>
    <row r="104" spans="9:264" ht="7.5" customHeight="1" x14ac:dyDescent="0.25">
      <c r="I104" s="26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8"/>
      <c r="CP104" s="2"/>
      <c r="CQ104" s="2"/>
      <c r="CR104" s="2"/>
      <c r="CS104" s="26"/>
      <c r="CT104" s="27"/>
      <c r="CU104" s="27"/>
      <c r="CV104" s="27"/>
      <c r="CW104" s="27"/>
      <c r="CX104" s="27"/>
      <c r="CY104" s="27"/>
      <c r="CZ104" s="27"/>
      <c r="DA104" s="27"/>
      <c r="DB104" s="27"/>
      <c r="DC104" s="27"/>
      <c r="DD104" s="27"/>
      <c r="DE104" s="27"/>
      <c r="DF104" s="27"/>
      <c r="DG104" s="27"/>
      <c r="DH104" s="27"/>
      <c r="DI104" s="27"/>
      <c r="DJ104" s="27"/>
      <c r="DK104" s="27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  <c r="EJ104" s="27"/>
      <c r="EK104" s="27"/>
      <c r="EL104" s="27"/>
      <c r="EM104" s="27"/>
      <c r="EN104" s="27"/>
      <c r="EO104" s="27"/>
      <c r="EP104" s="27"/>
      <c r="EQ104" s="27"/>
      <c r="ER104" s="27"/>
      <c r="ES104" s="27"/>
      <c r="ET104" s="27"/>
      <c r="EU104" s="27"/>
      <c r="EV104" s="27"/>
      <c r="EW104" s="27"/>
      <c r="EX104" s="27"/>
      <c r="EY104" s="27"/>
      <c r="EZ104" s="27"/>
      <c r="FA104" s="27"/>
      <c r="FB104" s="27"/>
      <c r="FC104" s="27"/>
      <c r="FD104" s="27"/>
      <c r="FE104" s="27"/>
      <c r="FF104" s="27"/>
      <c r="FG104" s="27"/>
      <c r="FH104" s="27"/>
      <c r="FI104" s="27"/>
      <c r="FJ104" s="27"/>
      <c r="FK104" s="27"/>
      <c r="FL104" s="27"/>
      <c r="FM104" s="27"/>
      <c r="FN104" s="27"/>
      <c r="FO104" s="27"/>
      <c r="FP104" s="27"/>
      <c r="FQ104" s="27"/>
      <c r="FR104" s="27"/>
      <c r="FS104" s="27"/>
      <c r="FT104" s="28"/>
      <c r="GC104" s="26"/>
      <c r="GD104" s="27"/>
      <c r="GE104" s="27"/>
      <c r="GF104" s="27"/>
      <c r="GG104" s="27"/>
      <c r="GH104" s="27"/>
      <c r="GI104" s="27"/>
      <c r="GJ104" s="27"/>
      <c r="GK104" s="27"/>
      <c r="GL104" s="27"/>
      <c r="GM104" s="27"/>
      <c r="GN104" s="27"/>
      <c r="GO104" s="27"/>
      <c r="GP104" s="27"/>
      <c r="GQ104" s="27"/>
      <c r="GR104" s="27"/>
      <c r="GS104" s="27"/>
      <c r="GT104" s="27"/>
      <c r="GU104" s="27"/>
      <c r="GV104" s="27"/>
      <c r="GW104" s="27"/>
      <c r="GX104" s="27"/>
      <c r="GY104" s="27"/>
      <c r="GZ104" s="27"/>
      <c r="HA104" s="27"/>
      <c r="HB104" s="27"/>
      <c r="HC104" s="27"/>
      <c r="HD104" s="27"/>
      <c r="HE104" s="27"/>
      <c r="HF104" s="27"/>
      <c r="HG104" s="27"/>
      <c r="HH104" s="27"/>
      <c r="HI104" s="27"/>
      <c r="HJ104" s="27"/>
      <c r="HK104" s="27"/>
      <c r="HL104" s="27"/>
      <c r="HM104" s="27"/>
      <c r="HN104" s="27"/>
      <c r="HO104" s="27"/>
      <c r="HP104" s="27"/>
      <c r="HQ104" s="27"/>
      <c r="HR104" s="27"/>
      <c r="HS104" s="27"/>
      <c r="HT104" s="27"/>
      <c r="HU104" s="27"/>
      <c r="HV104" s="27"/>
      <c r="HW104" s="27"/>
      <c r="HX104" s="27"/>
      <c r="HY104" s="27"/>
      <c r="HZ104" s="27"/>
      <c r="IA104" s="27"/>
      <c r="IB104" s="27"/>
      <c r="IC104" s="27"/>
      <c r="ID104" s="27"/>
      <c r="IE104" s="27"/>
      <c r="IF104" s="27"/>
      <c r="IG104" s="27"/>
      <c r="IH104" s="27"/>
      <c r="II104" s="27"/>
      <c r="IJ104" s="27"/>
      <c r="IK104" s="27"/>
      <c r="IL104" s="27"/>
      <c r="IM104" s="27"/>
      <c r="IN104" s="27"/>
      <c r="IO104" s="27"/>
      <c r="IP104" s="27"/>
      <c r="IQ104" s="27"/>
      <c r="IR104" s="27"/>
      <c r="IS104" s="27"/>
      <c r="IT104" s="27"/>
      <c r="IU104" s="27"/>
      <c r="IV104" s="27"/>
      <c r="IW104" s="27"/>
      <c r="IX104" s="27"/>
      <c r="IY104" s="27"/>
      <c r="IZ104" s="27"/>
      <c r="JA104" s="27"/>
      <c r="JB104" s="27"/>
      <c r="JC104" s="27"/>
      <c r="JD104" s="28"/>
    </row>
    <row r="105" spans="9:264" ht="7.5" customHeight="1" x14ac:dyDescent="0.25">
      <c r="I105" s="26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8"/>
      <c r="CP105" s="2"/>
      <c r="CQ105" s="2"/>
      <c r="CR105" s="2"/>
      <c r="CS105" s="26"/>
      <c r="CT105" s="27"/>
      <c r="CU105" s="27"/>
      <c r="CV105" s="27"/>
      <c r="CW105" s="27"/>
      <c r="CX105" s="27"/>
      <c r="CY105" s="27"/>
      <c r="CZ105" s="27"/>
      <c r="DA105" s="27"/>
      <c r="DB105" s="27"/>
      <c r="DC105" s="27"/>
      <c r="DD105" s="27"/>
      <c r="DE105" s="27"/>
      <c r="DF105" s="27"/>
      <c r="DG105" s="27"/>
      <c r="DH105" s="27"/>
      <c r="DI105" s="27"/>
      <c r="DJ105" s="27"/>
      <c r="DK105" s="27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  <c r="EJ105" s="27"/>
      <c r="EK105" s="27"/>
      <c r="EL105" s="27"/>
      <c r="EM105" s="27"/>
      <c r="EN105" s="27"/>
      <c r="EO105" s="27"/>
      <c r="EP105" s="27"/>
      <c r="EQ105" s="27"/>
      <c r="ER105" s="27"/>
      <c r="ES105" s="27"/>
      <c r="ET105" s="27"/>
      <c r="EU105" s="27"/>
      <c r="EV105" s="27"/>
      <c r="EW105" s="27"/>
      <c r="EX105" s="27"/>
      <c r="EY105" s="27"/>
      <c r="EZ105" s="27"/>
      <c r="FA105" s="27"/>
      <c r="FB105" s="27"/>
      <c r="FC105" s="27"/>
      <c r="FD105" s="27"/>
      <c r="FE105" s="27"/>
      <c r="FF105" s="27"/>
      <c r="FG105" s="27"/>
      <c r="FH105" s="27"/>
      <c r="FI105" s="27"/>
      <c r="FJ105" s="27"/>
      <c r="FK105" s="27"/>
      <c r="FL105" s="27"/>
      <c r="FM105" s="27"/>
      <c r="FN105" s="27"/>
      <c r="FO105" s="27"/>
      <c r="FP105" s="27"/>
      <c r="FQ105" s="27"/>
      <c r="FR105" s="27"/>
      <c r="FS105" s="27"/>
      <c r="FT105" s="28"/>
      <c r="GC105" s="26"/>
      <c r="GD105" s="27"/>
      <c r="GE105" s="27"/>
      <c r="GF105" s="27"/>
      <c r="GG105" s="27"/>
      <c r="GH105" s="27"/>
      <c r="GI105" s="27"/>
      <c r="GJ105" s="27"/>
      <c r="GK105" s="27"/>
      <c r="GL105" s="27"/>
      <c r="GM105" s="27"/>
      <c r="GN105" s="27"/>
      <c r="GO105" s="27"/>
      <c r="GP105" s="27"/>
      <c r="GQ105" s="27"/>
      <c r="GR105" s="27"/>
      <c r="GS105" s="27"/>
      <c r="GT105" s="27"/>
      <c r="GU105" s="27"/>
      <c r="GV105" s="27"/>
      <c r="GW105" s="27"/>
      <c r="GX105" s="27"/>
      <c r="GY105" s="27"/>
      <c r="GZ105" s="27"/>
      <c r="HA105" s="27"/>
      <c r="HB105" s="27"/>
      <c r="HC105" s="27"/>
      <c r="HD105" s="27"/>
      <c r="HE105" s="27"/>
      <c r="HF105" s="27"/>
      <c r="HG105" s="27"/>
      <c r="HH105" s="27"/>
      <c r="HI105" s="27"/>
      <c r="HJ105" s="27"/>
      <c r="HK105" s="27"/>
      <c r="HL105" s="27"/>
      <c r="HM105" s="27"/>
      <c r="HN105" s="27"/>
      <c r="HO105" s="27"/>
      <c r="HP105" s="27"/>
      <c r="HQ105" s="27"/>
      <c r="HR105" s="27"/>
      <c r="HS105" s="27"/>
      <c r="HT105" s="27"/>
      <c r="HU105" s="27"/>
      <c r="HV105" s="27"/>
      <c r="HW105" s="27"/>
      <c r="HX105" s="27"/>
      <c r="HY105" s="27"/>
      <c r="HZ105" s="27"/>
      <c r="IA105" s="27"/>
      <c r="IB105" s="27"/>
      <c r="IC105" s="27"/>
      <c r="ID105" s="27"/>
      <c r="IE105" s="27"/>
      <c r="IF105" s="27"/>
      <c r="IG105" s="27"/>
      <c r="IH105" s="27"/>
      <c r="II105" s="27"/>
      <c r="IJ105" s="27"/>
      <c r="IK105" s="27"/>
      <c r="IL105" s="27"/>
      <c r="IM105" s="27"/>
      <c r="IN105" s="27"/>
      <c r="IO105" s="27"/>
      <c r="IP105" s="27"/>
      <c r="IQ105" s="27"/>
      <c r="IR105" s="27"/>
      <c r="IS105" s="27"/>
      <c r="IT105" s="27"/>
      <c r="IU105" s="27"/>
      <c r="IV105" s="27"/>
      <c r="IW105" s="27"/>
      <c r="IX105" s="27"/>
      <c r="IY105" s="27"/>
      <c r="IZ105" s="27"/>
      <c r="JA105" s="27"/>
      <c r="JB105" s="27"/>
      <c r="JC105" s="27"/>
      <c r="JD105" s="28"/>
    </row>
    <row r="106" spans="9:264" ht="7.5" customHeight="1" x14ac:dyDescent="0.25">
      <c r="I106" s="29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0"/>
      <c r="BH106" s="30"/>
      <c r="BI106" s="30"/>
      <c r="BJ106" s="30"/>
      <c r="BK106" s="30"/>
      <c r="BL106" s="30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  <c r="BX106" s="30"/>
      <c r="BY106" s="30"/>
      <c r="BZ106" s="30"/>
      <c r="CA106" s="30"/>
      <c r="CB106" s="30"/>
      <c r="CC106" s="30"/>
      <c r="CD106" s="30"/>
      <c r="CE106" s="30"/>
      <c r="CF106" s="30"/>
      <c r="CG106" s="30"/>
      <c r="CH106" s="30"/>
      <c r="CI106" s="30"/>
      <c r="CJ106" s="31"/>
      <c r="CP106" s="2"/>
      <c r="CQ106" s="2"/>
      <c r="CR106" s="2"/>
      <c r="CS106" s="29"/>
      <c r="CT106" s="30"/>
      <c r="CU106" s="30"/>
      <c r="CV106" s="30"/>
      <c r="CW106" s="30"/>
      <c r="CX106" s="30"/>
      <c r="CY106" s="30"/>
      <c r="CZ106" s="30"/>
      <c r="DA106" s="30"/>
      <c r="DB106" s="30"/>
      <c r="DC106" s="30"/>
      <c r="DD106" s="30"/>
      <c r="DE106" s="30"/>
      <c r="DF106" s="30"/>
      <c r="DG106" s="30"/>
      <c r="DH106" s="30"/>
      <c r="DI106" s="30"/>
      <c r="DJ106" s="30"/>
      <c r="DK106" s="30"/>
      <c r="DL106" s="30"/>
      <c r="DM106" s="30"/>
      <c r="DN106" s="30"/>
      <c r="DO106" s="30"/>
      <c r="DP106" s="30"/>
      <c r="DQ106" s="30"/>
      <c r="DR106" s="30"/>
      <c r="DS106" s="30"/>
      <c r="DT106" s="30"/>
      <c r="DU106" s="30"/>
      <c r="DV106" s="30"/>
      <c r="DW106" s="30"/>
      <c r="DX106" s="30"/>
      <c r="DY106" s="30"/>
      <c r="DZ106" s="30"/>
      <c r="EA106" s="30"/>
      <c r="EB106" s="30"/>
      <c r="EC106" s="30"/>
      <c r="ED106" s="30"/>
      <c r="EE106" s="30"/>
      <c r="EF106" s="30"/>
      <c r="EG106" s="30"/>
      <c r="EH106" s="30"/>
      <c r="EI106" s="30"/>
      <c r="EJ106" s="30"/>
      <c r="EK106" s="30"/>
      <c r="EL106" s="30"/>
      <c r="EM106" s="30"/>
      <c r="EN106" s="30"/>
      <c r="EO106" s="30"/>
      <c r="EP106" s="30"/>
      <c r="EQ106" s="30"/>
      <c r="ER106" s="30"/>
      <c r="ES106" s="30"/>
      <c r="ET106" s="30"/>
      <c r="EU106" s="30"/>
      <c r="EV106" s="30"/>
      <c r="EW106" s="30"/>
      <c r="EX106" s="30"/>
      <c r="EY106" s="30"/>
      <c r="EZ106" s="30"/>
      <c r="FA106" s="30"/>
      <c r="FB106" s="30"/>
      <c r="FC106" s="30"/>
      <c r="FD106" s="30"/>
      <c r="FE106" s="30"/>
      <c r="FF106" s="30"/>
      <c r="FG106" s="30"/>
      <c r="FH106" s="30"/>
      <c r="FI106" s="30"/>
      <c r="FJ106" s="30"/>
      <c r="FK106" s="30"/>
      <c r="FL106" s="30"/>
      <c r="FM106" s="30"/>
      <c r="FN106" s="30"/>
      <c r="FO106" s="30"/>
      <c r="FP106" s="30"/>
      <c r="FQ106" s="30"/>
      <c r="FR106" s="30"/>
      <c r="FS106" s="30"/>
      <c r="FT106" s="31"/>
      <c r="GC106" s="29"/>
      <c r="GD106" s="30"/>
      <c r="GE106" s="30"/>
      <c r="GF106" s="30"/>
      <c r="GG106" s="30"/>
      <c r="GH106" s="30"/>
      <c r="GI106" s="30"/>
      <c r="GJ106" s="30"/>
      <c r="GK106" s="30"/>
      <c r="GL106" s="30"/>
      <c r="GM106" s="30"/>
      <c r="GN106" s="30"/>
      <c r="GO106" s="30"/>
      <c r="GP106" s="30"/>
      <c r="GQ106" s="30"/>
      <c r="GR106" s="30"/>
      <c r="GS106" s="30"/>
      <c r="GT106" s="30"/>
      <c r="GU106" s="30"/>
      <c r="GV106" s="30"/>
      <c r="GW106" s="30"/>
      <c r="GX106" s="30"/>
      <c r="GY106" s="30"/>
      <c r="GZ106" s="30"/>
      <c r="HA106" s="30"/>
      <c r="HB106" s="30"/>
      <c r="HC106" s="30"/>
      <c r="HD106" s="30"/>
      <c r="HE106" s="30"/>
      <c r="HF106" s="30"/>
      <c r="HG106" s="30"/>
      <c r="HH106" s="30"/>
      <c r="HI106" s="30"/>
      <c r="HJ106" s="30"/>
      <c r="HK106" s="30"/>
      <c r="HL106" s="30"/>
      <c r="HM106" s="30"/>
      <c r="HN106" s="30"/>
      <c r="HO106" s="30"/>
      <c r="HP106" s="30"/>
      <c r="HQ106" s="30"/>
      <c r="HR106" s="30"/>
      <c r="HS106" s="30"/>
      <c r="HT106" s="30"/>
      <c r="HU106" s="30"/>
      <c r="HV106" s="30"/>
      <c r="HW106" s="30"/>
      <c r="HX106" s="30"/>
      <c r="HY106" s="30"/>
      <c r="HZ106" s="30"/>
      <c r="IA106" s="30"/>
      <c r="IB106" s="30"/>
      <c r="IC106" s="30"/>
      <c r="ID106" s="30"/>
      <c r="IE106" s="30"/>
      <c r="IF106" s="30"/>
      <c r="IG106" s="30"/>
      <c r="IH106" s="30"/>
      <c r="II106" s="30"/>
      <c r="IJ106" s="30"/>
      <c r="IK106" s="30"/>
      <c r="IL106" s="30"/>
      <c r="IM106" s="30"/>
      <c r="IN106" s="30"/>
      <c r="IO106" s="30"/>
      <c r="IP106" s="30"/>
      <c r="IQ106" s="30"/>
      <c r="IR106" s="30"/>
      <c r="IS106" s="30"/>
      <c r="IT106" s="30"/>
      <c r="IU106" s="30"/>
      <c r="IV106" s="30"/>
      <c r="IW106" s="30"/>
      <c r="IX106" s="30"/>
      <c r="IY106" s="30"/>
      <c r="IZ106" s="30"/>
      <c r="JA106" s="30"/>
      <c r="JB106" s="30"/>
      <c r="JC106" s="30"/>
      <c r="JD106" s="31"/>
    </row>
    <row r="107" spans="9:264" ht="7.5" customHeight="1" x14ac:dyDescent="0.25">
      <c r="BG107" s="4"/>
      <c r="BH107" s="4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</row>
    <row r="108" spans="9:264" ht="7.5" customHeight="1" x14ac:dyDescent="0.25"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3"/>
      <c r="BG108" s="4"/>
      <c r="BH108" s="4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</row>
    <row r="109" spans="9:264" ht="7.5" customHeight="1" x14ac:dyDescent="0.25">
      <c r="BG109" s="4"/>
      <c r="BH109" s="4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</row>
    <row r="110" spans="9:264" ht="7.5" customHeight="1" x14ac:dyDescent="0.25">
      <c r="BG110" s="4"/>
      <c r="BH110" s="4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</row>
    <row r="111" spans="9:264" ht="7.5" customHeight="1" x14ac:dyDescent="0.25">
      <c r="BG111" s="4"/>
      <c r="BH111" s="4"/>
    </row>
    <row r="112" spans="9:264" ht="7.5" customHeight="1" x14ac:dyDescent="0.25">
      <c r="BG112" s="4"/>
      <c r="BH112" s="4"/>
    </row>
    <row r="113" spans="9:264" ht="7.5" customHeight="1" x14ac:dyDescent="0.25">
      <c r="BG113" s="4"/>
      <c r="BH113" s="4"/>
    </row>
    <row r="114" spans="9:264" ht="7.5" customHeight="1" x14ac:dyDescent="0.25">
      <c r="BG114" s="4"/>
      <c r="BH114" s="5"/>
    </row>
    <row r="115" spans="9:264" ht="7.5" customHeight="1" x14ac:dyDescent="0.25">
      <c r="I115" s="23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5"/>
      <c r="CS115" s="23"/>
      <c r="CT115" s="24"/>
      <c r="CU115" s="24"/>
      <c r="CV115" s="24"/>
      <c r="CW115" s="24"/>
      <c r="CX115" s="24"/>
      <c r="CY115" s="24"/>
      <c r="CZ115" s="24"/>
      <c r="DA115" s="24"/>
      <c r="DB115" s="24"/>
      <c r="DC115" s="24"/>
      <c r="DD115" s="24"/>
      <c r="DE115" s="24"/>
      <c r="DF115" s="24"/>
      <c r="DG115" s="24"/>
      <c r="DH115" s="24"/>
      <c r="DI115" s="24"/>
      <c r="DJ115" s="24"/>
      <c r="DK115" s="24"/>
      <c r="DL115" s="24"/>
      <c r="DM115" s="24"/>
      <c r="DN115" s="24"/>
      <c r="DO115" s="24"/>
      <c r="DP115" s="24"/>
      <c r="DQ115" s="24"/>
      <c r="DR115" s="24"/>
      <c r="DS115" s="24"/>
      <c r="DT115" s="24"/>
      <c r="DU115" s="24"/>
      <c r="DV115" s="24"/>
      <c r="DW115" s="24"/>
      <c r="DX115" s="24"/>
      <c r="DY115" s="24"/>
      <c r="DZ115" s="24"/>
      <c r="EA115" s="24"/>
      <c r="EB115" s="24"/>
      <c r="EC115" s="24"/>
      <c r="ED115" s="24"/>
      <c r="EE115" s="24"/>
      <c r="EF115" s="24"/>
      <c r="EG115" s="24"/>
      <c r="EH115" s="24"/>
      <c r="EI115" s="24"/>
      <c r="EJ115" s="24"/>
      <c r="EK115" s="24"/>
      <c r="EL115" s="24"/>
      <c r="EM115" s="24"/>
      <c r="EN115" s="24"/>
      <c r="EO115" s="24"/>
      <c r="EP115" s="24"/>
      <c r="EQ115" s="24"/>
      <c r="ER115" s="24"/>
      <c r="ES115" s="24"/>
      <c r="ET115" s="24"/>
      <c r="EU115" s="24"/>
      <c r="EV115" s="24"/>
      <c r="EW115" s="24"/>
      <c r="EX115" s="24"/>
      <c r="EY115" s="24"/>
      <c r="EZ115" s="24"/>
      <c r="FA115" s="24"/>
      <c r="FB115" s="24"/>
      <c r="FC115" s="24"/>
      <c r="FD115" s="24"/>
      <c r="FE115" s="24"/>
      <c r="FF115" s="24"/>
      <c r="FG115" s="24"/>
      <c r="FH115" s="24"/>
      <c r="FI115" s="24"/>
      <c r="FJ115" s="24"/>
      <c r="FK115" s="24"/>
      <c r="FL115" s="24"/>
      <c r="FM115" s="24"/>
      <c r="FN115" s="24"/>
      <c r="FO115" s="24"/>
      <c r="FP115" s="24"/>
      <c r="FQ115" s="24"/>
      <c r="FR115" s="24"/>
      <c r="FS115" s="24"/>
      <c r="FT115" s="25"/>
      <c r="GC115" s="23"/>
      <c r="GD115" s="24"/>
      <c r="GE115" s="24"/>
      <c r="GF115" s="24"/>
      <c r="GG115" s="24"/>
      <c r="GH115" s="24"/>
      <c r="GI115" s="24"/>
      <c r="GJ115" s="24"/>
      <c r="GK115" s="24"/>
      <c r="GL115" s="24"/>
      <c r="GM115" s="24"/>
      <c r="GN115" s="24"/>
      <c r="GO115" s="24"/>
      <c r="GP115" s="24"/>
      <c r="GQ115" s="24"/>
      <c r="GR115" s="24"/>
      <c r="GS115" s="24"/>
      <c r="GT115" s="24"/>
      <c r="GU115" s="24"/>
      <c r="GV115" s="24"/>
      <c r="GW115" s="24"/>
      <c r="GX115" s="24"/>
      <c r="GY115" s="24"/>
      <c r="GZ115" s="24"/>
      <c r="HA115" s="24"/>
      <c r="HB115" s="24"/>
      <c r="HC115" s="24"/>
      <c r="HD115" s="24"/>
      <c r="HE115" s="24"/>
      <c r="HF115" s="24"/>
      <c r="HG115" s="24"/>
      <c r="HH115" s="24"/>
      <c r="HI115" s="24"/>
      <c r="HJ115" s="24"/>
      <c r="HK115" s="24"/>
      <c r="HL115" s="24"/>
      <c r="HM115" s="24"/>
      <c r="HN115" s="24"/>
      <c r="HO115" s="24"/>
      <c r="HP115" s="24"/>
      <c r="HQ115" s="24"/>
      <c r="HR115" s="24"/>
      <c r="HS115" s="24"/>
      <c r="HT115" s="24"/>
      <c r="HU115" s="24"/>
      <c r="HV115" s="24"/>
      <c r="HW115" s="24"/>
      <c r="HX115" s="24"/>
      <c r="HY115" s="24"/>
      <c r="HZ115" s="24"/>
      <c r="IA115" s="24"/>
      <c r="IB115" s="24"/>
      <c r="IC115" s="24"/>
      <c r="ID115" s="24"/>
      <c r="IE115" s="24"/>
      <c r="IF115" s="24"/>
      <c r="IG115" s="24"/>
      <c r="IH115" s="24"/>
      <c r="II115" s="24"/>
      <c r="IJ115" s="24"/>
      <c r="IK115" s="24"/>
      <c r="IL115" s="24"/>
      <c r="IM115" s="24"/>
      <c r="IN115" s="24"/>
      <c r="IO115" s="24"/>
      <c r="IP115" s="24"/>
      <c r="IQ115" s="24"/>
      <c r="IR115" s="24"/>
      <c r="IS115" s="24"/>
      <c r="IT115" s="24"/>
      <c r="IU115" s="24"/>
      <c r="IV115" s="24"/>
      <c r="IW115" s="24"/>
      <c r="IX115" s="24"/>
      <c r="IY115" s="24"/>
      <c r="IZ115" s="24"/>
      <c r="JA115" s="24"/>
      <c r="JB115" s="24"/>
      <c r="JC115" s="24"/>
      <c r="JD115" s="25"/>
    </row>
    <row r="116" spans="9:264" ht="7.5" customHeight="1" x14ac:dyDescent="0.25">
      <c r="I116" s="26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8"/>
      <c r="CS116" s="26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8"/>
      <c r="GC116" s="26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  <c r="IG116" s="27"/>
      <c r="IH116" s="27"/>
      <c r="II116" s="27"/>
      <c r="IJ116" s="27"/>
      <c r="IK116" s="27"/>
      <c r="IL116" s="27"/>
      <c r="IM116" s="27"/>
      <c r="IN116" s="27"/>
      <c r="IO116" s="27"/>
      <c r="IP116" s="27"/>
      <c r="IQ116" s="27"/>
      <c r="IR116" s="27"/>
      <c r="IS116" s="27"/>
      <c r="IT116" s="27"/>
      <c r="IU116" s="27"/>
      <c r="IV116" s="27"/>
      <c r="IW116" s="27"/>
      <c r="IX116" s="27"/>
      <c r="IY116" s="27"/>
      <c r="IZ116" s="27"/>
      <c r="JA116" s="27"/>
      <c r="JB116" s="27"/>
      <c r="JC116" s="27"/>
      <c r="JD116" s="28"/>
    </row>
    <row r="117" spans="9:264" ht="7.5" customHeight="1" x14ac:dyDescent="0.25">
      <c r="I117" s="26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27"/>
      <c r="CH117" s="27"/>
      <c r="CI117" s="27"/>
      <c r="CJ117" s="28"/>
      <c r="CS117" s="26"/>
      <c r="CT117" s="27"/>
      <c r="CU117" s="27"/>
      <c r="CV117" s="27"/>
      <c r="CW117" s="27"/>
      <c r="CX117" s="27"/>
      <c r="CY117" s="27"/>
      <c r="CZ117" s="27"/>
      <c r="DA117" s="27"/>
      <c r="DB117" s="27"/>
      <c r="DC117" s="27"/>
      <c r="DD117" s="27"/>
      <c r="DE117" s="27"/>
      <c r="DF117" s="27"/>
      <c r="DG117" s="27"/>
      <c r="DH117" s="27"/>
      <c r="DI117" s="27"/>
      <c r="DJ117" s="27"/>
      <c r="DK117" s="27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  <c r="EJ117" s="27"/>
      <c r="EK117" s="27"/>
      <c r="EL117" s="27"/>
      <c r="EM117" s="27"/>
      <c r="EN117" s="27"/>
      <c r="EO117" s="27"/>
      <c r="EP117" s="27"/>
      <c r="EQ117" s="27"/>
      <c r="ER117" s="27"/>
      <c r="ES117" s="27"/>
      <c r="ET117" s="27"/>
      <c r="EU117" s="27"/>
      <c r="EV117" s="27"/>
      <c r="EW117" s="27"/>
      <c r="EX117" s="27"/>
      <c r="EY117" s="27"/>
      <c r="EZ117" s="27"/>
      <c r="FA117" s="27"/>
      <c r="FB117" s="27"/>
      <c r="FC117" s="27"/>
      <c r="FD117" s="27"/>
      <c r="FE117" s="27"/>
      <c r="FF117" s="27"/>
      <c r="FG117" s="27"/>
      <c r="FH117" s="27"/>
      <c r="FI117" s="27"/>
      <c r="FJ117" s="27"/>
      <c r="FK117" s="27"/>
      <c r="FL117" s="27"/>
      <c r="FM117" s="27"/>
      <c r="FN117" s="27"/>
      <c r="FO117" s="27"/>
      <c r="FP117" s="27"/>
      <c r="FQ117" s="27"/>
      <c r="FR117" s="27"/>
      <c r="FS117" s="27"/>
      <c r="FT117" s="28"/>
      <c r="GC117" s="26"/>
      <c r="GD117" s="27"/>
      <c r="GE117" s="27"/>
      <c r="GF117" s="27"/>
      <c r="GG117" s="27"/>
      <c r="GH117" s="27"/>
      <c r="GI117" s="27"/>
      <c r="GJ117" s="27"/>
      <c r="GK117" s="27"/>
      <c r="GL117" s="27"/>
      <c r="GM117" s="27"/>
      <c r="GN117" s="27"/>
      <c r="GO117" s="27"/>
      <c r="GP117" s="27"/>
      <c r="GQ117" s="27"/>
      <c r="GR117" s="27"/>
      <c r="GS117" s="27"/>
      <c r="GT117" s="27"/>
      <c r="GU117" s="27"/>
      <c r="GV117" s="27"/>
      <c r="GW117" s="27"/>
      <c r="GX117" s="27"/>
      <c r="GY117" s="27"/>
      <c r="GZ117" s="27"/>
      <c r="HA117" s="27"/>
      <c r="HB117" s="27"/>
      <c r="HC117" s="27"/>
      <c r="HD117" s="27"/>
      <c r="HE117" s="27"/>
      <c r="HF117" s="27"/>
      <c r="HG117" s="27"/>
      <c r="HH117" s="27"/>
      <c r="HI117" s="27"/>
      <c r="HJ117" s="27"/>
      <c r="HK117" s="27"/>
      <c r="HL117" s="27"/>
      <c r="HM117" s="27"/>
      <c r="HN117" s="27"/>
      <c r="HO117" s="27"/>
      <c r="HP117" s="27"/>
      <c r="HQ117" s="27"/>
      <c r="HR117" s="27"/>
      <c r="HS117" s="27"/>
      <c r="HT117" s="27"/>
      <c r="HU117" s="27"/>
      <c r="HV117" s="27"/>
      <c r="HW117" s="27"/>
      <c r="HX117" s="27"/>
      <c r="HY117" s="27"/>
      <c r="HZ117" s="27"/>
      <c r="IA117" s="27"/>
      <c r="IB117" s="27"/>
      <c r="IC117" s="27"/>
      <c r="ID117" s="27"/>
      <c r="IE117" s="27"/>
      <c r="IF117" s="27"/>
      <c r="IG117" s="27"/>
      <c r="IH117" s="27"/>
      <c r="II117" s="27"/>
      <c r="IJ117" s="27"/>
      <c r="IK117" s="27"/>
      <c r="IL117" s="27"/>
      <c r="IM117" s="27"/>
      <c r="IN117" s="27"/>
      <c r="IO117" s="27"/>
      <c r="IP117" s="27"/>
      <c r="IQ117" s="27"/>
      <c r="IR117" s="27"/>
      <c r="IS117" s="27"/>
      <c r="IT117" s="27"/>
      <c r="IU117" s="27"/>
      <c r="IV117" s="27"/>
      <c r="IW117" s="27"/>
      <c r="IX117" s="27"/>
      <c r="IY117" s="27"/>
      <c r="IZ117" s="27"/>
      <c r="JA117" s="27"/>
      <c r="JB117" s="27"/>
      <c r="JC117" s="27"/>
      <c r="JD117" s="28"/>
    </row>
    <row r="118" spans="9:264" ht="7.5" customHeight="1" x14ac:dyDescent="0.25">
      <c r="I118" s="26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27"/>
      <c r="CH118" s="27"/>
      <c r="CI118" s="27"/>
      <c r="CJ118" s="28"/>
      <c r="CS118" s="26"/>
      <c r="CT118" s="27"/>
      <c r="CU118" s="27"/>
      <c r="CV118" s="27"/>
      <c r="CW118" s="27"/>
      <c r="CX118" s="27"/>
      <c r="CY118" s="27"/>
      <c r="CZ118" s="27"/>
      <c r="DA118" s="27"/>
      <c r="DB118" s="27"/>
      <c r="DC118" s="27"/>
      <c r="DD118" s="27"/>
      <c r="DE118" s="27"/>
      <c r="DF118" s="27"/>
      <c r="DG118" s="27"/>
      <c r="DH118" s="27"/>
      <c r="DI118" s="27"/>
      <c r="DJ118" s="27"/>
      <c r="DK118" s="27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  <c r="EJ118" s="27"/>
      <c r="EK118" s="27"/>
      <c r="EL118" s="27"/>
      <c r="EM118" s="27"/>
      <c r="EN118" s="27"/>
      <c r="EO118" s="27"/>
      <c r="EP118" s="27"/>
      <c r="EQ118" s="27"/>
      <c r="ER118" s="27"/>
      <c r="ES118" s="27"/>
      <c r="ET118" s="27"/>
      <c r="EU118" s="27"/>
      <c r="EV118" s="27"/>
      <c r="EW118" s="27"/>
      <c r="EX118" s="27"/>
      <c r="EY118" s="27"/>
      <c r="EZ118" s="27"/>
      <c r="FA118" s="27"/>
      <c r="FB118" s="27"/>
      <c r="FC118" s="27"/>
      <c r="FD118" s="27"/>
      <c r="FE118" s="27"/>
      <c r="FF118" s="27"/>
      <c r="FG118" s="27"/>
      <c r="FH118" s="27"/>
      <c r="FI118" s="27"/>
      <c r="FJ118" s="27"/>
      <c r="FK118" s="27"/>
      <c r="FL118" s="27"/>
      <c r="FM118" s="27"/>
      <c r="FN118" s="27"/>
      <c r="FO118" s="27"/>
      <c r="FP118" s="27"/>
      <c r="FQ118" s="27"/>
      <c r="FR118" s="27"/>
      <c r="FS118" s="27"/>
      <c r="FT118" s="28"/>
      <c r="GC118" s="26"/>
      <c r="GD118" s="27"/>
      <c r="GE118" s="27"/>
      <c r="GF118" s="27"/>
      <c r="GG118" s="27"/>
      <c r="GH118" s="27"/>
      <c r="GI118" s="27"/>
      <c r="GJ118" s="27"/>
      <c r="GK118" s="27"/>
      <c r="GL118" s="27"/>
      <c r="GM118" s="27"/>
      <c r="GN118" s="27"/>
      <c r="GO118" s="27"/>
      <c r="GP118" s="27"/>
      <c r="GQ118" s="27"/>
      <c r="GR118" s="27"/>
      <c r="GS118" s="27"/>
      <c r="GT118" s="27"/>
      <c r="GU118" s="27"/>
      <c r="GV118" s="27"/>
      <c r="GW118" s="27"/>
      <c r="GX118" s="27"/>
      <c r="GY118" s="27"/>
      <c r="GZ118" s="27"/>
      <c r="HA118" s="27"/>
      <c r="HB118" s="27"/>
      <c r="HC118" s="27"/>
      <c r="HD118" s="27"/>
      <c r="HE118" s="27"/>
      <c r="HF118" s="27"/>
      <c r="HG118" s="27"/>
      <c r="HH118" s="27"/>
      <c r="HI118" s="27"/>
      <c r="HJ118" s="27"/>
      <c r="HK118" s="27"/>
      <c r="HL118" s="27"/>
      <c r="HM118" s="27"/>
      <c r="HN118" s="27"/>
      <c r="HO118" s="27"/>
      <c r="HP118" s="27"/>
      <c r="HQ118" s="27"/>
      <c r="HR118" s="27"/>
      <c r="HS118" s="27"/>
      <c r="HT118" s="27"/>
      <c r="HU118" s="27"/>
      <c r="HV118" s="27"/>
      <c r="HW118" s="27"/>
      <c r="HX118" s="27"/>
      <c r="HY118" s="27"/>
      <c r="HZ118" s="27"/>
      <c r="IA118" s="27"/>
      <c r="IB118" s="27"/>
      <c r="IC118" s="27"/>
      <c r="ID118" s="27"/>
      <c r="IE118" s="27"/>
      <c r="IF118" s="27"/>
      <c r="IG118" s="27"/>
      <c r="IH118" s="27"/>
      <c r="II118" s="27"/>
      <c r="IJ118" s="27"/>
      <c r="IK118" s="27"/>
      <c r="IL118" s="27"/>
      <c r="IM118" s="27"/>
      <c r="IN118" s="27"/>
      <c r="IO118" s="27"/>
      <c r="IP118" s="27"/>
      <c r="IQ118" s="27"/>
      <c r="IR118" s="27"/>
      <c r="IS118" s="27"/>
      <c r="IT118" s="27"/>
      <c r="IU118" s="27"/>
      <c r="IV118" s="27"/>
      <c r="IW118" s="27"/>
      <c r="IX118" s="27"/>
      <c r="IY118" s="27"/>
      <c r="IZ118" s="27"/>
      <c r="JA118" s="27"/>
      <c r="JB118" s="27"/>
      <c r="JC118" s="27"/>
      <c r="JD118" s="28"/>
    </row>
    <row r="119" spans="9:264" ht="7.5" customHeight="1" x14ac:dyDescent="0.25">
      <c r="I119" s="26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27"/>
      <c r="CH119" s="27"/>
      <c r="CI119" s="27"/>
      <c r="CJ119" s="28"/>
      <c r="CS119" s="26"/>
      <c r="CT119" s="27"/>
      <c r="CU119" s="27"/>
      <c r="CV119" s="27"/>
      <c r="CW119" s="27"/>
      <c r="CX119" s="27"/>
      <c r="CY119" s="27"/>
      <c r="CZ119" s="27"/>
      <c r="DA119" s="27"/>
      <c r="DB119" s="27"/>
      <c r="DC119" s="27"/>
      <c r="DD119" s="27"/>
      <c r="DE119" s="27"/>
      <c r="DF119" s="27"/>
      <c r="DG119" s="27"/>
      <c r="DH119" s="27"/>
      <c r="DI119" s="27"/>
      <c r="DJ119" s="27"/>
      <c r="DK119" s="27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  <c r="EJ119" s="27"/>
      <c r="EK119" s="27"/>
      <c r="EL119" s="27"/>
      <c r="EM119" s="27"/>
      <c r="EN119" s="27"/>
      <c r="EO119" s="27"/>
      <c r="EP119" s="27"/>
      <c r="EQ119" s="27"/>
      <c r="ER119" s="27"/>
      <c r="ES119" s="27"/>
      <c r="ET119" s="27"/>
      <c r="EU119" s="27"/>
      <c r="EV119" s="27"/>
      <c r="EW119" s="27"/>
      <c r="EX119" s="27"/>
      <c r="EY119" s="27"/>
      <c r="EZ119" s="27"/>
      <c r="FA119" s="27"/>
      <c r="FB119" s="27"/>
      <c r="FC119" s="27"/>
      <c r="FD119" s="27"/>
      <c r="FE119" s="27"/>
      <c r="FF119" s="27"/>
      <c r="FG119" s="27"/>
      <c r="FH119" s="27"/>
      <c r="FI119" s="27"/>
      <c r="FJ119" s="27"/>
      <c r="FK119" s="27"/>
      <c r="FL119" s="27"/>
      <c r="FM119" s="27"/>
      <c r="FN119" s="27"/>
      <c r="FO119" s="27"/>
      <c r="FP119" s="27"/>
      <c r="FQ119" s="27"/>
      <c r="FR119" s="27"/>
      <c r="FS119" s="27"/>
      <c r="FT119" s="28"/>
      <c r="GC119" s="26"/>
      <c r="GD119" s="27"/>
      <c r="GE119" s="27"/>
      <c r="GF119" s="27"/>
      <c r="GG119" s="27"/>
      <c r="GH119" s="27"/>
      <c r="GI119" s="27"/>
      <c r="GJ119" s="27"/>
      <c r="GK119" s="27"/>
      <c r="GL119" s="27"/>
      <c r="GM119" s="27"/>
      <c r="GN119" s="27"/>
      <c r="GO119" s="27"/>
      <c r="GP119" s="27"/>
      <c r="GQ119" s="27"/>
      <c r="GR119" s="27"/>
      <c r="GS119" s="27"/>
      <c r="GT119" s="27"/>
      <c r="GU119" s="27"/>
      <c r="GV119" s="27"/>
      <c r="GW119" s="27"/>
      <c r="GX119" s="27"/>
      <c r="GY119" s="27"/>
      <c r="GZ119" s="27"/>
      <c r="HA119" s="27"/>
      <c r="HB119" s="27"/>
      <c r="HC119" s="27"/>
      <c r="HD119" s="27"/>
      <c r="HE119" s="27"/>
      <c r="HF119" s="27"/>
      <c r="HG119" s="27"/>
      <c r="HH119" s="27"/>
      <c r="HI119" s="27"/>
      <c r="HJ119" s="27"/>
      <c r="HK119" s="27"/>
      <c r="HL119" s="27"/>
      <c r="HM119" s="27"/>
      <c r="HN119" s="27"/>
      <c r="HO119" s="27"/>
      <c r="HP119" s="27"/>
      <c r="HQ119" s="27"/>
      <c r="HR119" s="27"/>
      <c r="HS119" s="27"/>
      <c r="HT119" s="27"/>
      <c r="HU119" s="27"/>
      <c r="HV119" s="27"/>
      <c r="HW119" s="27"/>
      <c r="HX119" s="27"/>
      <c r="HY119" s="27"/>
      <c r="HZ119" s="27"/>
      <c r="IA119" s="27"/>
      <c r="IB119" s="27"/>
      <c r="IC119" s="27"/>
      <c r="ID119" s="27"/>
      <c r="IE119" s="27"/>
      <c r="IF119" s="27"/>
      <c r="IG119" s="27"/>
      <c r="IH119" s="27"/>
      <c r="II119" s="27"/>
      <c r="IJ119" s="27"/>
      <c r="IK119" s="27"/>
      <c r="IL119" s="27"/>
      <c r="IM119" s="27"/>
      <c r="IN119" s="27"/>
      <c r="IO119" s="27"/>
      <c r="IP119" s="27"/>
      <c r="IQ119" s="27"/>
      <c r="IR119" s="27"/>
      <c r="IS119" s="27"/>
      <c r="IT119" s="27"/>
      <c r="IU119" s="27"/>
      <c r="IV119" s="27"/>
      <c r="IW119" s="27"/>
      <c r="IX119" s="27"/>
      <c r="IY119" s="27"/>
      <c r="IZ119" s="27"/>
      <c r="JA119" s="27"/>
      <c r="JB119" s="27"/>
      <c r="JC119" s="27"/>
      <c r="JD119" s="28"/>
    </row>
    <row r="120" spans="9:264" ht="7.5" customHeight="1" x14ac:dyDescent="0.25">
      <c r="I120" s="26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27"/>
      <c r="CH120" s="27"/>
      <c r="CI120" s="27"/>
      <c r="CJ120" s="28"/>
      <c r="CS120" s="26"/>
      <c r="CT120" s="27"/>
      <c r="CU120" s="27"/>
      <c r="CV120" s="27"/>
      <c r="CW120" s="27"/>
      <c r="CX120" s="27"/>
      <c r="CY120" s="27"/>
      <c r="CZ120" s="27"/>
      <c r="DA120" s="27"/>
      <c r="DB120" s="27"/>
      <c r="DC120" s="27"/>
      <c r="DD120" s="27"/>
      <c r="DE120" s="27"/>
      <c r="DF120" s="27"/>
      <c r="DG120" s="27"/>
      <c r="DH120" s="27"/>
      <c r="DI120" s="27"/>
      <c r="DJ120" s="27"/>
      <c r="DK120" s="27"/>
      <c r="DL120" s="27"/>
      <c r="DM120" s="27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  <c r="EJ120" s="27"/>
      <c r="EK120" s="27"/>
      <c r="EL120" s="27"/>
      <c r="EM120" s="27"/>
      <c r="EN120" s="27"/>
      <c r="EO120" s="27"/>
      <c r="EP120" s="27"/>
      <c r="EQ120" s="27"/>
      <c r="ER120" s="27"/>
      <c r="ES120" s="27"/>
      <c r="ET120" s="27"/>
      <c r="EU120" s="27"/>
      <c r="EV120" s="27"/>
      <c r="EW120" s="27"/>
      <c r="EX120" s="27"/>
      <c r="EY120" s="27"/>
      <c r="EZ120" s="27"/>
      <c r="FA120" s="27"/>
      <c r="FB120" s="27"/>
      <c r="FC120" s="27"/>
      <c r="FD120" s="27"/>
      <c r="FE120" s="27"/>
      <c r="FF120" s="27"/>
      <c r="FG120" s="27"/>
      <c r="FH120" s="27"/>
      <c r="FI120" s="27"/>
      <c r="FJ120" s="27"/>
      <c r="FK120" s="27"/>
      <c r="FL120" s="27"/>
      <c r="FM120" s="27"/>
      <c r="FN120" s="27"/>
      <c r="FO120" s="27"/>
      <c r="FP120" s="27"/>
      <c r="FQ120" s="27"/>
      <c r="FR120" s="27"/>
      <c r="FS120" s="27"/>
      <c r="FT120" s="28"/>
      <c r="GC120" s="26"/>
      <c r="GD120" s="27"/>
      <c r="GE120" s="27"/>
      <c r="GF120" s="27"/>
      <c r="GG120" s="27"/>
      <c r="GH120" s="27"/>
      <c r="GI120" s="27"/>
      <c r="GJ120" s="27"/>
      <c r="GK120" s="27"/>
      <c r="GL120" s="27"/>
      <c r="GM120" s="27"/>
      <c r="GN120" s="27"/>
      <c r="GO120" s="27"/>
      <c r="GP120" s="27"/>
      <c r="GQ120" s="27"/>
      <c r="GR120" s="27"/>
      <c r="GS120" s="27"/>
      <c r="GT120" s="27"/>
      <c r="GU120" s="27"/>
      <c r="GV120" s="27"/>
      <c r="GW120" s="27"/>
      <c r="GX120" s="27"/>
      <c r="GY120" s="27"/>
      <c r="GZ120" s="27"/>
      <c r="HA120" s="27"/>
      <c r="HB120" s="27"/>
      <c r="HC120" s="27"/>
      <c r="HD120" s="27"/>
      <c r="HE120" s="27"/>
      <c r="HF120" s="27"/>
      <c r="HG120" s="27"/>
      <c r="HH120" s="27"/>
      <c r="HI120" s="27"/>
      <c r="HJ120" s="27"/>
      <c r="HK120" s="27"/>
      <c r="HL120" s="27"/>
      <c r="HM120" s="27"/>
      <c r="HN120" s="27"/>
      <c r="HO120" s="27"/>
      <c r="HP120" s="27"/>
      <c r="HQ120" s="27"/>
      <c r="HR120" s="27"/>
      <c r="HS120" s="27"/>
      <c r="HT120" s="27"/>
      <c r="HU120" s="27"/>
      <c r="HV120" s="27"/>
      <c r="HW120" s="27"/>
      <c r="HX120" s="27"/>
      <c r="HY120" s="27"/>
      <c r="HZ120" s="27"/>
      <c r="IA120" s="27"/>
      <c r="IB120" s="27"/>
      <c r="IC120" s="27"/>
      <c r="ID120" s="27"/>
      <c r="IE120" s="27"/>
      <c r="IF120" s="27"/>
      <c r="IG120" s="27"/>
      <c r="IH120" s="27"/>
      <c r="II120" s="27"/>
      <c r="IJ120" s="27"/>
      <c r="IK120" s="27"/>
      <c r="IL120" s="27"/>
      <c r="IM120" s="27"/>
      <c r="IN120" s="27"/>
      <c r="IO120" s="27"/>
      <c r="IP120" s="27"/>
      <c r="IQ120" s="27"/>
      <c r="IR120" s="27"/>
      <c r="IS120" s="27"/>
      <c r="IT120" s="27"/>
      <c r="IU120" s="27"/>
      <c r="IV120" s="27"/>
      <c r="IW120" s="27"/>
      <c r="IX120" s="27"/>
      <c r="IY120" s="27"/>
      <c r="IZ120" s="27"/>
      <c r="JA120" s="27"/>
      <c r="JB120" s="27"/>
      <c r="JC120" s="27"/>
      <c r="JD120" s="28"/>
    </row>
    <row r="121" spans="9:264" ht="7.5" customHeight="1" x14ac:dyDescent="0.25">
      <c r="I121" s="26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27"/>
      <c r="CH121" s="27"/>
      <c r="CI121" s="27"/>
      <c r="CJ121" s="28"/>
      <c r="CS121" s="26"/>
      <c r="CT121" s="27"/>
      <c r="CU121" s="27"/>
      <c r="CV121" s="27"/>
      <c r="CW121" s="27"/>
      <c r="CX121" s="27"/>
      <c r="CY121" s="27"/>
      <c r="CZ121" s="27"/>
      <c r="DA121" s="27"/>
      <c r="DB121" s="27"/>
      <c r="DC121" s="27"/>
      <c r="DD121" s="27"/>
      <c r="DE121" s="27"/>
      <c r="DF121" s="27"/>
      <c r="DG121" s="27"/>
      <c r="DH121" s="27"/>
      <c r="DI121" s="27"/>
      <c r="DJ121" s="27"/>
      <c r="DK121" s="27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  <c r="EJ121" s="27"/>
      <c r="EK121" s="27"/>
      <c r="EL121" s="27"/>
      <c r="EM121" s="27"/>
      <c r="EN121" s="27"/>
      <c r="EO121" s="27"/>
      <c r="EP121" s="27"/>
      <c r="EQ121" s="27"/>
      <c r="ER121" s="27"/>
      <c r="ES121" s="27"/>
      <c r="ET121" s="27"/>
      <c r="EU121" s="27"/>
      <c r="EV121" s="27"/>
      <c r="EW121" s="27"/>
      <c r="EX121" s="27"/>
      <c r="EY121" s="27"/>
      <c r="EZ121" s="27"/>
      <c r="FA121" s="27"/>
      <c r="FB121" s="27"/>
      <c r="FC121" s="27"/>
      <c r="FD121" s="27"/>
      <c r="FE121" s="27"/>
      <c r="FF121" s="27"/>
      <c r="FG121" s="27"/>
      <c r="FH121" s="27"/>
      <c r="FI121" s="27"/>
      <c r="FJ121" s="27"/>
      <c r="FK121" s="27"/>
      <c r="FL121" s="27"/>
      <c r="FM121" s="27"/>
      <c r="FN121" s="27"/>
      <c r="FO121" s="27"/>
      <c r="FP121" s="27"/>
      <c r="FQ121" s="27"/>
      <c r="FR121" s="27"/>
      <c r="FS121" s="27"/>
      <c r="FT121" s="28"/>
      <c r="GC121" s="26"/>
      <c r="GD121" s="27"/>
      <c r="GE121" s="27"/>
      <c r="GF121" s="27"/>
      <c r="GG121" s="27"/>
      <c r="GH121" s="27"/>
      <c r="GI121" s="27"/>
      <c r="GJ121" s="27"/>
      <c r="GK121" s="27"/>
      <c r="GL121" s="27"/>
      <c r="GM121" s="27"/>
      <c r="GN121" s="27"/>
      <c r="GO121" s="27"/>
      <c r="GP121" s="27"/>
      <c r="GQ121" s="27"/>
      <c r="GR121" s="27"/>
      <c r="GS121" s="27"/>
      <c r="GT121" s="27"/>
      <c r="GU121" s="27"/>
      <c r="GV121" s="27"/>
      <c r="GW121" s="27"/>
      <c r="GX121" s="27"/>
      <c r="GY121" s="27"/>
      <c r="GZ121" s="27"/>
      <c r="HA121" s="27"/>
      <c r="HB121" s="27"/>
      <c r="HC121" s="27"/>
      <c r="HD121" s="27"/>
      <c r="HE121" s="27"/>
      <c r="HF121" s="27"/>
      <c r="HG121" s="27"/>
      <c r="HH121" s="27"/>
      <c r="HI121" s="27"/>
      <c r="HJ121" s="27"/>
      <c r="HK121" s="27"/>
      <c r="HL121" s="27"/>
      <c r="HM121" s="27"/>
      <c r="HN121" s="27"/>
      <c r="HO121" s="27"/>
      <c r="HP121" s="27"/>
      <c r="HQ121" s="27"/>
      <c r="HR121" s="27"/>
      <c r="HS121" s="27"/>
      <c r="HT121" s="27"/>
      <c r="HU121" s="27"/>
      <c r="HV121" s="27"/>
      <c r="HW121" s="27"/>
      <c r="HX121" s="27"/>
      <c r="HY121" s="27"/>
      <c r="HZ121" s="27"/>
      <c r="IA121" s="27"/>
      <c r="IB121" s="27"/>
      <c r="IC121" s="27"/>
      <c r="ID121" s="27"/>
      <c r="IE121" s="27"/>
      <c r="IF121" s="27"/>
      <c r="IG121" s="27"/>
      <c r="IH121" s="27"/>
      <c r="II121" s="27"/>
      <c r="IJ121" s="27"/>
      <c r="IK121" s="27"/>
      <c r="IL121" s="27"/>
      <c r="IM121" s="27"/>
      <c r="IN121" s="27"/>
      <c r="IO121" s="27"/>
      <c r="IP121" s="27"/>
      <c r="IQ121" s="27"/>
      <c r="IR121" s="27"/>
      <c r="IS121" s="27"/>
      <c r="IT121" s="27"/>
      <c r="IU121" s="27"/>
      <c r="IV121" s="27"/>
      <c r="IW121" s="27"/>
      <c r="IX121" s="27"/>
      <c r="IY121" s="27"/>
      <c r="IZ121" s="27"/>
      <c r="JA121" s="27"/>
      <c r="JB121" s="27"/>
      <c r="JC121" s="27"/>
      <c r="JD121" s="28"/>
    </row>
    <row r="122" spans="9:264" ht="7.5" customHeight="1" x14ac:dyDescent="0.25">
      <c r="I122" s="26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27"/>
      <c r="CH122" s="27"/>
      <c r="CI122" s="27"/>
      <c r="CJ122" s="28"/>
      <c r="CS122" s="26"/>
      <c r="CT122" s="27"/>
      <c r="CU122" s="27"/>
      <c r="CV122" s="27"/>
      <c r="CW122" s="27"/>
      <c r="CX122" s="27"/>
      <c r="CY122" s="27"/>
      <c r="CZ122" s="27"/>
      <c r="DA122" s="27"/>
      <c r="DB122" s="27"/>
      <c r="DC122" s="27"/>
      <c r="DD122" s="27"/>
      <c r="DE122" s="27"/>
      <c r="DF122" s="27"/>
      <c r="DG122" s="27"/>
      <c r="DH122" s="27"/>
      <c r="DI122" s="27"/>
      <c r="DJ122" s="27"/>
      <c r="DK122" s="27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  <c r="EJ122" s="27"/>
      <c r="EK122" s="27"/>
      <c r="EL122" s="27"/>
      <c r="EM122" s="27"/>
      <c r="EN122" s="27"/>
      <c r="EO122" s="27"/>
      <c r="EP122" s="27"/>
      <c r="EQ122" s="27"/>
      <c r="ER122" s="27"/>
      <c r="ES122" s="27"/>
      <c r="ET122" s="27"/>
      <c r="EU122" s="27"/>
      <c r="EV122" s="27"/>
      <c r="EW122" s="27"/>
      <c r="EX122" s="27"/>
      <c r="EY122" s="27"/>
      <c r="EZ122" s="27"/>
      <c r="FA122" s="27"/>
      <c r="FB122" s="27"/>
      <c r="FC122" s="27"/>
      <c r="FD122" s="27"/>
      <c r="FE122" s="27"/>
      <c r="FF122" s="27"/>
      <c r="FG122" s="27"/>
      <c r="FH122" s="27"/>
      <c r="FI122" s="27"/>
      <c r="FJ122" s="27"/>
      <c r="FK122" s="27"/>
      <c r="FL122" s="27"/>
      <c r="FM122" s="27"/>
      <c r="FN122" s="27"/>
      <c r="FO122" s="27"/>
      <c r="FP122" s="27"/>
      <c r="FQ122" s="27"/>
      <c r="FR122" s="27"/>
      <c r="FS122" s="27"/>
      <c r="FT122" s="28"/>
      <c r="GC122" s="26"/>
      <c r="GD122" s="27"/>
      <c r="GE122" s="27"/>
      <c r="GF122" s="27"/>
      <c r="GG122" s="27"/>
      <c r="GH122" s="27"/>
      <c r="GI122" s="27"/>
      <c r="GJ122" s="27"/>
      <c r="GK122" s="27"/>
      <c r="GL122" s="27"/>
      <c r="GM122" s="27"/>
      <c r="GN122" s="27"/>
      <c r="GO122" s="27"/>
      <c r="GP122" s="27"/>
      <c r="GQ122" s="27"/>
      <c r="GR122" s="27"/>
      <c r="GS122" s="27"/>
      <c r="GT122" s="27"/>
      <c r="GU122" s="27"/>
      <c r="GV122" s="27"/>
      <c r="GW122" s="27"/>
      <c r="GX122" s="27"/>
      <c r="GY122" s="27"/>
      <c r="GZ122" s="27"/>
      <c r="HA122" s="27"/>
      <c r="HB122" s="27"/>
      <c r="HC122" s="27"/>
      <c r="HD122" s="27"/>
      <c r="HE122" s="27"/>
      <c r="HF122" s="27"/>
      <c r="HG122" s="27"/>
      <c r="HH122" s="27"/>
      <c r="HI122" s="27"/>
      <c r="HJ122" s="27"/>
      <c r="HK122" s="27"/>
      <c r="HL122" s="27"/>
      <c r="HM122" s="27"/>
      <c r="HN122" s="27"/>
      <c r="HO122" s="27"/>
      <c r="HP122" s="27"/>
      <c r="HQ122" s="27"/>
      <c r="HR122" s="27"/>
      <c r="HS122" s="27"/>
      <c r="HT122" s="27"/>
      <c r="HU122" s="27"/>
      <c r="HV122" s="27"/>
      <c r="HW122" s="27"/>
      <c r="HX122" s="27"/>
      <c r="HY122" s="27"/>
      <c r="HZ122" s="27"/>
      <c r="IA122" s="27"/>
      <c r="IB122" s="27"/>
      <c r="IC122" s="27"/>
      <c r="ID122" s="27"/>
      <c r="IE122" s="27"/>
      <c r="IF122" s="27"/>
      <c r="IG122" s="27"/>
      <c r="IH122" s="27"/>
      <c r="II122" s="27"/>
      <c r="IJ122" s="27"/>
      <c r="IK122" s="27"/>
      <c r="IL122" s="27"/>
      <c r="IM122" s="27"/>
      <c r="IN122" s="27"/>
      <c r="IO122" s="27"/>
      <c r="IP122" s="27"/>
      <c r="IQ122" s="27"/>
      <c r="IR122" s="27"/>
      <c r="IS122" s="27"/>
      <c r="IT122" s="27"/>
      <c r="IU122" s="27"/>
      <c r="IV122" s="27"/>
      <c r="IW122" s="27"/>
      <c r="IX122" s="27"/>
      <c r="IY122" s="27"/>
      <c r="IZ122" s="27"/>
      <c r="JA122" s="27"/>
      <c r="JB122" s="27"/>
      <c r="JC122" s="27"/>
      <c r="JD122" s="28"/>
    </row>
    <row r="123" spans="9:264" ht="7.5" customHeight="1" x14ac:dyDescent="0.25">
      <c r="I123" s="26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27"/>
      <c r="CH123" s="27"/>
      <c r="CI123" s="27"/>
      <c r="CJ123" s="28"/>
      <c r="CS123" s="26"/>
      <c r="CT123" s="27"/>
      <c r="CU123" s="27"/>
      <c r="CV123" s="27"/>
      <c r="CW123" s="27"/>
      <c r="CX123" s="27"/>
      <c r="CY123" s="27"/>
      <c r="CZ123" s="27"/>
      <c r="DA123" s="27"/>
      <c r="DB123" s="27"/>
      <c r="DC123" s="27"/>
      <c r="DD123" s="27"/>
      <c r="DE123" s="27"/>
      <c r="DF123" s="27"/>
      <c r="DG123" s="27"/>
      <c r="DH123" s="27"/>
      <c r="DI123" s="27"/>
      <c r="DJ123" s="27"/>
      <c r="DK123" s="27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  <c r="EJ123" s="27"/>
      <c r="EK123" s="27"/>
      <c r="EL123" s="27"/>
      <c r="EM123" s="27"/>
      <c r="EN123" s="27"/>
      <c r="EO123" s="27"/>
      <c r="EP123" s="27"/>
      <c r="EQ123" s="27"/>
      <c r="ER123" s="27"/>
      <c r="ES123" s="27"/>
      <c r="ET123" s="27"/>
      <c r="EU123" s="27"/>
      <c r="EV123" s="27"/>
      <c r="EW123" s="27"/>
      <c r="EX123" s="27"/>
      <c r="EY123" s="27"/>
      <c r="EZ123" s="27"/>
      <c r="FA123" s="27"/>
      <c r="FB123" s="27"/>
      <c r="FC123" s="27"/>
      <c r="FD123" s="27"/>
      <c r="FE123" s="27"/>
      <c r="FF123" s="27"/>
      <c r="FG123" s="27"/>
      <c r="FH123" s="27"/>
      <c r="FI123" s="27"/>
      <c r="FJ123" s="27"/>
      <c r="FK123" s="27"/>
      <c r="FL123" s="27"/>
      <c r="FM123" s="27"/>
      <c r="FN123" s="27"/>
      <c r="FO123" s="27"/>
      <c r="FP123" s="27"/>
      <c r="FQ123" s="27"/>
      <c r="FR123" s="27"/>
      <c r="FS123" s="27"/>
      <c r="FT123" s="28"/>
      <c r="GC123" s="26"/>
      <c r="GD123" s="27"/>
      <c r="GE123" s="27"/>
      <c r="GF123" s="27"/>
      <c r="GG123" s="27"/>
      <c r="GH123" s="27"/>
      <c r="GI123" s="27"/>
      <c r="GJ123" s="27"/>
      <c r="GK123" s="27"/>
      <c r="GL123" s="27"/>
      <c r="GM123" s="27"/>
      <c r="GN123" s="27"/>
      <c r="GO123" s="27"/>
      <c r="GP123" s="27"/>
      <c r="GQ123" s="27"/>
      <c r="GR123" s="27"/>
      <c r="GS123" s="27"/>
      <c r="GT123" s="27"/>
      <c r="GU123" s="27"/>
      <c r="GV123" s="27"/>
      <c r="GW123" s="27"/>
      <c r="GX123" s="27"/>
      <c r="GY123" s="27"/>
      <c r="GZ123" s="27"/>
      <c r="HA123" s="27"/>
      <c r="HB123" s="27"/>
      <c r="HC123" s="27"/>
      <c r="HD123" s="27"/>
      <c r="HE123" s="27"/>
      <c r="HF123" s="27"/>
      <c r="HG123" s="27"/>
      <c r="HH123" s="27"/>
      <c r="HI123" s="27"/>
      <c r="HJ123" s="27"/>
      <c r="HK123" s="27"/>
      <c r="HL123" s="27"/>
      <c r="HM123" s="27"/>
      <c r="HN123" s="27"/>
      <c r="HO123" s="27"/>
      <c r="HP123" s="27"/>
      <c r="HQ123" s="27"/>
      <c r="HR123" s="27"/>
      <c r="HS123" s="27"/>
      <c r="HT123" s="27"/>
      <c r="HU123" s="27"/>
      <c r="HV123" s="27"/>
      <c r="HW123" s="27"/>
      <c r="HX123" s="27"/>
      <c r="HY123" s="27"/>
      <c r="HZ123" s="27"/>
      <c r="IA123" s="27"/>
      <c r="IB123" s="27"/>
      <c r="IC123" s="27"/>
      <c r="ID123" s="27"/>
      <c r="IE123" s="27"/>
      <c r="IF123" s="27"/>
      <c r="IG123" s="27"/>
      <c r="IH123" s="27"/>
      <c r="II123" s="27"/>
      <c r="IJ123" s="27"/>
      <c r="IK123" s="27"/>
      <c r="IL123" s="27"/>
      <c r="IM123" s="27"/>
      <c r="IN123" s="27"/>
      <c r="IO123" s="27"/>
      <c r="IP123" s="27"/>
      <c r="IQ123" s="27"/>
      <c r="IR123" s="27"/>
      <c r="IS123" s="27"/>
      <c r="IT123" s="27"/>
      <c r="IU123" s="27"/>
      <c r="IV123" s="27"/>
      <c r="IW123" s="27"/>
      <c r="IX123" s="27"/>
      <c r="IY123" s="27"/>
      <c r="IZ123" s="27"/>
      <c r="JA123" s="27"/>
      <c r="JB123" s="27"/>
      <c r="JC123" s="27"/>
      <c r="JD123" s="28"/>
    </row>
    <row r="124" spans="9:264" ht="7.5" customHeight="1" x14ac:dyDescent="0.25">
      <c r="I124" s="26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27"/>
      <c r="CH124" s="27"/>
      <c r="CI124" s="27"/>
      <c r="CJ124" s="28"/>
      <c r="CS124" s="26"/>
      <c r="CT124" s="27"/>
      <c r="CU124" s="27"/>
      <c r="CV124" s="27"/>
      <c r="CW124" s="27"/>
      <c r="CX124" s="27"/>
      <c r="CY124" s="27"/>
      <c r="CZ124" s="27"/>
      <c r="DA124" s="27"/>
      <c r="DB124" s="27"/>
      <c r="DC124" s="27"/>
      <c r="DD124" s="27"/>
      <c r="DE124" s="27"/>
      <c r="DF124" s="27"/>
      <c r="DG124" s="27"/>
      <c r="DH124" s="27"/>
      <c r="DI124" s="27"/>
      <c r="DJ124" s="27"/>
      <c r="DK124" s="27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  <c r="EJ124" s="27"/>
      <c r="EK124" s="27"/>
      <c r="EL124" s="27"/>
      <c r="EM124" s="27"/>
      <c r="EN124" s="27"/>
      <c r="EO124" s="27"/>
      <c r="EP124" s="27"/>
      <c r="EQ124" s="27"/>
      <c r="ER124" s="27"/>
      <c r="ES124" s="27"/>
      <c r="ET124" s="27"/>
      <c r="EU124" s="27"/>
      <c r="EV124" s="27"/>
      <c r="EW124" s="27"/>
      <c r="EX124" s="27"/>
      <c r="EY124" s="27"/>
      <c r="EZ124" s="27"/>
      <c r="FA124" s="27"/>
      <c r="FB124" s="27"/>
      <c r="FC124" s="27"/>
      <c r="FD124" s="27"/>
      <c r="FE124" s="27"/>
      <c r="FF124" s="27"/>
      <c r="FG124" s="27"/>
      <c r="FH124" s="27"/>
      <c r="FI124" s="27"/>
      <c r="FJ124" s="27"/>
      <c r="FK124" s="27"/>
      <c r="FL124" s="27"/>
      <c r="FM124" s="27"/>
      <c r="FN124" s="27"/>
      <c r="FO124" s="27"/>
      <c r="FP124" s="27"/>
      <c r="FQ124" s="27"/>
      <c r="FR124" s="27"/>
      <c r="FS124" s="27"/>
      <c r="FT124" s="28"/>
      <c r="GC124" s="26"/>
      <c r="GD124" s="27"/>
      <c r="GE124" s="27"/>
      <c r="GF124" s="27"/>
      <c r="GG124" s="27"/>
      <c r="GH124" s="27"/>
      <c r="GI124" s="27"/>
      <c r="GJ124" s="27"/>
      <c r="GK124" s="27"/>
      <c r="GL124" s="27"/>
      <c r="GM124" s="27"/>
      <c r="GN124" s="27"/>
      <c r="GO124" s="27"/>
      <c r="GP124" s="27"/>
      <c r="GQ124" s="27"/>
      <c r="GR124" s="27"/>
      <c r="GS124" s="27"/>
      <c r="GT124" s="27"/>
      <c r="GU124" s="27"/>
      <c r="GV124" s="27"/>
      <c r="GW124" s="27"/>
      <c r="GX124" s="27"/>
      <c r="GY124" s="27"/>
      <c r="GZ124" s="27"/>
      <c r="HA124" s="27"/>
      <c r="HB124" s="27"/>
      <c r="HC124" s="27"/>
      <c r="HD124" s="27"/>
      <c r="HE124" s="27"/>
      <c r="HF124" s="27"/>
      <c r="HG124" s="27"/>
      <c r="HH124" s="27"/>
      <c r="HI124" s="27"/>
      <c r="HJ124" s="27"/>
      <c r="HK124" s="27"/>
      <c r="HL124" s="27"/>
      <c r="HM124" s="27"/>
      <c r="HN124" s="27"/>
      <c r="HO124" s="27"/>
      <c r="HP124" s="27"/>
      <c r="HQ124" s="27"/>
      <c r="HR124" s="27"/>
      <c r="HS124" s="27"/>
      <c r="HT124" s="27"/>
      <c r="HU124" s="27"/>
      <c r="HV124" s="27"/>
      <c r="HW124" s="27"/>
      <c r="HX124" s="27"/>
      <c r="HY124" s="27"/>
      <c r="HZ124" s="27"/>
      <c r="IA124" s="27"/>
      <c r="IB124" s="27"/>
      <c r="IC124" s="27"/>
      <c r="ID124" s="27"/>
      <c r="IE124" s="27"/>
      <c r="IF124" s="27"/>
      <c r="IG124" s="27"/>
      <c r="IH124" s="27"/>
      <c r="II124" s="27"/>
      <c r="IJ124" s="27"/>
      <c r="IK124" s="27"/>
      <c r="IL124" s="27"/>
      <c r="IM124" s="27"/>
      <c r="IN124" s="27"/>
      <c r="IO124" s="27"/>
      <c r="IP124" s="27"/>
      <c r="IQ124" s="27"/>
      <c r="IR124" s="27"/>
      <c r="IS124" s="27"/>
      <c r="IT124" s="27"/>
      <c r="IU124" s="27"/>
      <c r="IV124" s="27"/>
      <c r="IW124" s="27"/>
      <c r="IX124" s="27"/>
      <c r="IY124" s="27"/>
      <c r="IZ124" s="27"/>
      <c r="JA124" s="27"/>
      <c r="JB124" s="27"/>
      <c r="JC124" s="27"/>
      <c r="JD124" s="28"/>
    </row>
    <row r="125" spans="9:264" ht="7.5" customHeight="1" x14ac:dyDescent="0.25">
      <c r="I125" s="26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27"/>
      <c r="CH125" s="27"/>
      <c r="CI125" s="27"/>
      <c r="CJ125" s="28"/>
      <c r="CS125" s="26"/>
      <c r="CT125" s="27"/>
      <c r="CU125" s="27"/>
      <c r="CV125" s="27"/>
      <c r="CW125" s="27"/>
      <c r="CX125" s="27"/>
      <c r="CY125" s="27"/>
      <c r="CZ125" s="27"/>
      <c r="DA125" s="27"/>
      <c r="DB125" s="27"/>
      <c r="DC125" s="27"/>
      <c r="DD125" s="27"/>
      <c r="DE125" s="27"/>
      <c r="DF125" s="27"/>
      <c r="DG125" s="27"/>
      <c r="DH125" s="27"/>
      <c r="DI125" s="27"/>
      <c r="DJ125" s="27"/>
      <c r="DK125" s="27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  <c r="EJ125" s="27"/>
      <c r="EK125" s="27"/>
      <c r="EL125" s="27"/>
      <c r="EM125" s="27"/>
      <c r="EN125" s="27"/>
      <c r="EO125" s="27"/>
      <c r="EP125" s="27"/>
      <c r="EQ125" s="27"/>
      <c r="ER125" s="27"/>
      <c r="ES125" s="27"/>
      <c r="ET125" s="27"/>
      <c r="EU125" s="27"/>
      <c r="EV125" s="27"/>
      <c r="EW125" s="27"/>
      <c r="EX125" s="27"/>
      <c r="EY125" s="27"/>
      <c r="EZ125" s="27"/>
      <c r="FA125" s="27"/>
      <c r="FB125" s="27"/>
      <c r="FC125" s="27"/>
      <c r="FD125" s="27"/>
      <c r="FE125" s="27"/>
      <c r="FF125" s="27"/>
      <c r="FG125" s="27"/>
      <c r="FH125" s="27"/>
      <c r="FI125" s="27"/>
      <c r="FJ125" s="27"/>
      <c r="FK125" s="27"/>
      <c r="FL125" s="27"/>
      <c r="FM125" s="27"/>
      <c r="FN125" s="27"/>
      <c r="FO125" s="27"/>
      <c r="FP125" s="27"/>
      <c r="FQ125" s="27"/>
      <c r="FR125" s="27"/>
      <c r="FS125" s="27"/>
      <c r="FT125" s="28"/>
      <c r="GC125" s="26"/>
      <c r="GD125" s="27"/>
      <c r="GE125" s="27"/>
      <c r="GF125" s="27"/>
      <c r="GG125" s="27"/>
      <c r="GH125" s="27"/>
      <c r="GI125" s="27"/>
      <c r="GJ125" s="27"/>
      <c r="GK125" s="27"/>
      <c r="GL125" s="27"/>
      <c r="GM125" s="27"/>
      <c r="GN125" s="27"/>
      <c r="GO125" s="27"/>
      <c r="GP125" s="27"/>
      <c r="GQ125" s="27"/>
      <c r="GR125" s="27"/>
      <c r="GS125" s="27"/>
      <c r="GT125" s="27"/>
      <c r="GU125" s="27"/>
      <c r="GV125" s="27"/>
      <c r="GW125" s="27"/>
      <c r="GX125" s="27"/>
      <c r="GY125" s="27"/>
      <c r="GZ125" s="27"/>
      <c r="HA125" s="27"/>
      <c r="HB125" s="27"/>
      <c r="HC125" s="27"/>
      <c r="HD125" s="27"/>
      <c r="HE125" s="27"/>
      <c r="HF125" s="27"/>
      <c r="HG125" s="27"/>
      <c r="HH125" s="27"/>
      <c r="HI125" s="27"/>
      <c r="HJ125" s="27"/>
      <c r="HK125" s="27"/>
      <c r="HL125" s="27"/>
      <c r="HM125" s="27"/>
      <c r="HN125" s="27"/>
      <c r="HO125" s="27"/>
      <c r="HP125" s="27"/>
      <c r="HQ125" s="27"/>
      <c r="HR125" s="27"/>
      <c r="HS125" s="27"/>
      <c r="HT125" s="27"/>
      <c r="HU125" s="27"/>
      <c r="HV125" s="27"/>
      <c r="HW125" s="27"/>
      <c r="HX125" s="27"/>
      <c r="HY125" s="27"/>
      <c r="HZ125" s="27"/>
      <c r="IA125" s="27"/>
      <c r="IB125" s="27"/>
      <c r="IC125" s="27"/>
      <c r="ID125" s="27"/>
      <c r="IE125" s="27"/>
      <c r="IF125" s="27"/>
      <c r="IG125" s="27"/>
      <c r="IH125" s="27"/>
      <c r="II125" s="27"/>
      <c r="IJ125" s="27"/>
      <c r="IK125" s="27"/>
      <c r="IL125" s="27"/>
      <c r="IM125" s="27"/>
      <c r="IN125" s="27"/>
      <c r="IO125" s="27"/>
      <c r="IP125" s="27"/>
      <c r="IQ125" s="27"/>
      <c r="IR125" s="27"/>
      <c r="IS125" s="27"/>
      <c r="IT125" s="27"/>
      <c r="IU125" s="27"/>
      <c r="IV125" s="27"/>
      <c r="IW125" s="27"/>
      <c r="IX125" s="27"/>
      <c r="IY125" s="27"/>
      <c r="IZ125" s="27"/>
      <c r="JA125" s="27"/>
      <c r="JB125" s="27"/>
      <c r="JC125" s="27"/>
      <c r="JD125" s="28"/>
    </row>
    <row r="126" spans="9:264" ht="7.5" customHeight="1" x14ac:dyDescent="0.25">
      <c r="I126" s="26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27"/>
      <c r="CH126" s="27"/>
      <c r="CI126" s="27"/>
      <c r="CJ126" s="28"/>
      <c r="CS126" s="26"/>
      <c r="CT126" s="27"/>
      <c r="CU126" s="27"/>
      <c r="CV126" s="27"/>
      <c r="CW126" s="27"/>
      <c r="CX126" s="27"/>
      <c r="CY126" s="27"/>
      <c r="CZ126" s="27"/>
      <c r="DA126" s="27"/>
      <c r="DB126" s="27"/>
      <c r="DC126" s="27"/>
      <c r="DD126" s="27"/>
      <c r="DE126" s="27"/>
      <c r="DF126" s="27"/>
      <c r="DG126" s="27"/>
      <c r="DH126" s="27"/>
      <c r="DI126" s="27"/>
      <c r="DJ126" s="27"/>
      <c r="DK126" s="27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  <c r="EQ126" s="27"/>
      <c r="ER126" s="27"/>
      <c r="ES126" s="27"/>
      <c r="ET126" s="27"/>
      <c r="EU126" s="27"/>
      <c r="EV126" s="27"/>
      <c r="EW126" s="27"/>
      <c r="EX126" s="27"/>
      <c r="EY126" s="27"/>
      <c r="EZ126" s="27"/>
      <c r="FA126" s="27"/>
      <c r="FB126" s="27"/>
      <c r="FC126" s="27"/>
      <c r="FD126" s="27"/>
      <c r="FE126" s="27"/>
      <c r="FF126" s="27"/>
      <c r="FG126" s="27"/>
      <c r="FH126" s="27"/>
      <c r="FI126" s="27"/>
      <c r="FJ126" s="27"/>
      <c r="FK126" s="27"/>
      <c r="FL126" s="27"/>
      <c r="FM126" s="27"/>
      <c r="FN126" s="27"/>
      <c r="FO126" s="27"/>
      <c r="FP126" s="27"/>
      <c r="FQ126" s="27"/>
      <c r="FR126" s="27"/>
      <c r="FS126" s="27"/>
      <c r="FT126" s="28"/>
      <c r="GC126" s="26"/>
      <c r="GD126" s="27"/>
      <c r="GE126" s="27"/>
      <c r="GF126" s="27"/>
      <c r="GG126" s="27"/>
      <c r="GH126" s="27"/>
      <c r="GI126" s="27"/>
      <c r="GJ126" s="27"/>
      <c r="GK126" s="27"/>
      <c r="GL126" s="27"/>
      <c r="GM126" s="27"/>
      <c r="GN126" s="27"/>
      <c r="GO126" s="27"/>
      <c r="GP126" s="27"/>
      <c r="GQ126" s="27"/>
      <c r="GR126" s="27"/>
      <c r="GS126" s="27"/>
      <c r="GT126" s="27"/>
      <c r="GU126" s="27"/>
      <c r="GV126" s="27"/>
      <c r="GW126" s="27"/>
      <c r="GX126" s="27"/>
      <c r="GY126" s="27"/>
      <c r="GZ126" s="27"/>
      <c r="HA126" s="27"/>
      <c r="HB126" s="27"/>
      <c r="HC126" s="27"/>
      <c r="HD126" s="27"/>
      <c r="HE126" s="27"/>
      <c r="HF126" s="27"/>
      <c r="HG126" s="27"/>
      <c r="HH126" s="27"/>
      <c r="HI126" s="27"/>
      <c r="HJ126" s="27"/>
      <c r="HK126" s="27"/>
      <c r="HL126" s="27"/>
      <c r="HM126" s="27"/>
      <c r="HN126" s="27"/>
      <c r="HO126" s="27"/>
      <c r="HP126" s="27"/>
      <c r="HQ126" s="27"/>
      <c r="HR126" s="27"/>
      <c r="HS126" s="27"/>
      <c r="HT126" s="27"/>
      <c r="HU126" s="27"/>
      <c r="HV126" s="27"/>
      <c r="HW126" s="27"/>
      <c r="HX126" s="27"/>
      <c r="HY126" s="27"/>
      <c r="HZ126" s="27"/>
      <c r="IA126" s="27"/>
      <c r="IB126" s="27"/>
      <c r="IC126" s="27"/>
      <c r="ID126" s="27"/>
      <c r="IE126" s="27"/>
      <c r="IF126" s="27"/>
      <c r="IG126" s="27"/>
      <c r="IH126" s="27"/>
      <c r="II126" s="27"/>
      <c r="IJ126" s="27"/>
      <c r="IK126" s="27"/>
      <c r="IL126" s="27"/>
      <c r="IM126" s="27"/>
      <c r="IN126" s="27"/>
      <c r="IO126" s="27"/>
      <c r="IP126" s="27"/>
      <c r="IQ126" s="27"/>
      <c r="IR126" s="27"/>
      <c r="IS126" s="27"/>
      <c r="IT126" s="27"/>
      <c r="IU126" s="27"/>
      <c r="IV126" s="27"/>
      <c r="IW126" s="27"/>
      <c r="IX126" s="27"/>
      <c r="IY126" s="27"/>
      <c r="IZ126" s="27"/>
      <c r="JA126" s="27"/>
      <c r="JB126" s="27"/>
      <c r="JC126" s="27"/>
      <c r="JD126" s="28"/>
    </row>
    <row r="127" spans="9:264" ht="7.5" customHeight="1" x14ac:dyDescent="0.25">
      <c r="I127" s="26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27"/>
      <c r="CH127" s="27"/>
      <c r="CI127" s="27"/>
      <c r="CJ127" s="28"/>
      <c r="CS127" s="26"/>
      <c r="CT127" s="27"/>
      <c r="CU127" s="27"/>
      <c r="CV127" s="27"/>
      <c r="CW127" s="27"/>
      <c r="CX127" s="27"/>
      <c r="CY127" s="27"/>
      <c r="CZ127" s="27"/>
      <c r="DA127" s="27"/>
      <c r="DB127" s="27"/>
      <c r="DC127" s="27"/>
      <c r="DD127" s="27"/>
      <c r="DE127" s="27"/>
      <c r="DF127" s="27"/>
      <c r="DG127" s="27"/>
      <c r="DH127" s="27"/>
      <c r="DI127" s="27"/>
      <c r="DJ127" s="27"/>
      <c r="DK127" s="27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  <c r="EJ127" s="27"/>
      <c r="EK127" s="27"/>
      <c r="EL127" s="27"/>
      <c r="EM127" s="27"/>
      <c r="EN127" s="27"/>
      <c r="EO127" s="27"/>
      <c r="EP127" s="27"/>
      <c r="EQ127" s="27"/>
      <c r="ER127" s="27"/>
      <c r="ES127" s="27"/>
      <c r="ET127" s="27"/>
      <c r="EU127" s="27"/>
      <c r="EV127" s="27"/>
      <c r="EW127" s="27"/>
      <c r="EX127" s="27"/>
      <c r="EY127" s="27"/>
      <c r="EZ127" s="27"/>
      <c r="FA127" s="27"/>
      <c r="FB127" s="27"/>
      <c r="FC127" s="27"/>
      <c r="FD127" s="27"/>
      <c r="FE127" s="27"/>
      <c r="FF127" s="27"/>
      <c r="FG127" s="27"/>
      <c r="FH127" s="27"/>
      <c r="FI127" s="27"/>
      <c r="FJ127" s="27"/>
      <c r="FK127" s="27"/>
      <c r="FL127" s="27"/>
      <c r="FM127" s="27"/>
      <c r="FN127" s="27"/>
      <c r="FO127" s="27"/>
      <c r="FP127" s="27"/>
      <c r="FQ127" s="27"/>
      <c r="FR127" s="27"/>
      <c r="FS127" s="27"/>
      <c r="FT127" s="28"/>
      <c r="GC127" s="26"/>
      <c r="GD127" s="27"/>
      <c r="GE127" s="27"/>
      <c r="GF127" s="27"/>
      <c r="GG127" s="27"/>
      <c r="GH127" s="27"/>
      <c r="GI127" s="27"/>
      <c r="GJ127" s="27"/>
      <c r="GK127" s="27"/>
      <c r="GL127" s="27"/>
      <c r="GM127" s="27"/>
      <c r="GN127" s="27"/>
      <c r="GO127" s="27"/>
      <c r="GP127" s="27"/>
      <c r="GQ127" s="27"/>
      <c r="GR127" s="27"/>
      <c r="GS127" s="27"/>
      <c r="GT127" s="27"/>
      <c r="GU127" s="27"/>
      <c r="GV127" s="27"/>
      <c r="GW127" s="27"/>
      <c r="GX127" s="27"/>
      <c r="GY127" s="27"/>
      <c r="GZ127" s="27"/>
      <c r="HA127" s="27"/>
      <c r="HB127" s="27"/>
      <c r="HC127" s="27"/>
      <c r="HD127" s="27"/>
      <c r="HE127" s="27"/>
      <c r="HF127" s="27"/>
      <c r="HG127" s="27"/>
      <c r="HH127" s="27"/>
      <c r="HI127" s="27"/>
      <c r="HJ127" s="27"/>
      <c r="HK127" s="27"/>
      <c r="HL127" s="27"/>
      <c r="HM127" s="27"/>
      <c r="HN127" s="27"/>
      <c r="HO127" s="27"/>
      <c r="HP127" s="27"/>
      <c r="HQ127" s="27"/>
      <c r="HR127" s="27"/>
      <c r="HS127" s="27"/>
      <c r="HT127" s="27"/>
      <c r="HU127" s="27"/>
      <c r="HV127" s="27"/>
      <c r="HW127" s="27"/>
      <c r="HX127" s="27"/>
      <c r="HY127" s="27"/>
      <c r="HZ127" s="27"/>
      <c r="IA127" s="27"/>
      <c r="IB127" s="27"/>
      <c r="IC127" s="27"/>
      <c r="ID127" s="27"/>
      <c r="IE127" s="27"/>
      <c r="IF127" s="27"/>
      <c r="IG127" s="27"/>
      <c r="IH127" s="27"/>
      <c r="II127" s="27"/>
      <c r="IJ127" s="27"/>
      <c r="IK127" s="27"/>
      <c r="IL127" s="27"/>
      <c r="IM127" s="27"/>
      <c r="IN127" s="27"/>
      <c r="IO127" s="27"/>
      <c r="IP127" s="27"/>
      <c r="IQ127" s="27"/>
      <c r="IR127" s="27"/>
      <c r="IS127" s="27"/>
      <c r="IT127" s="27"/>
      <c r="IU127" s="27"/>
      <c r="IV127" s="27"/>
      <c r="IW127" s="27"/>
      <c r="IX127" s="27"/>
      <c r="IY127" s="27"/>
      <c r="IZ127" s="27"/>
      <c r="JA127" s="27"/>
      <c r="JB127" s="27"/>
      <c r="JC127" s="27"/>
      <c r="JD127" s="28"/>
    </row>
    <row r="128" spans="9:264" ht="7.5" customHeight="1" x14ac:dyDescent="0.25">
      <c r="I128" s="26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7"/>
      <c r="BD128" s="27"/>
      <c r="BE128" s="27"/>
      <c r="BF128" s="27"/>
      <c r="BG128" s="27"/>
      <c r="BH128" s="27"/>
      <c r="BI128" s="27"/>
      <c r="BJ128" s="27"/>
      <c r="BK128" s="27"/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27"/>
      <c r="CH128" s="27"/>
      <c r="CI128" s="27"/>
      <c r="CJ128" s="28"/>
      <c r="CS128" s="26"/>
      <c r="CT128" s="27"/>
      <c r="CU128" s="27"/>
      <c r="CV128" s="27"/>
      <c r="CW128" s="27"/>
      <c r="CX128" s="27"/>
      <c r="CY128" s="27"/>
      <c r="CZ128" s="27"/>
      <c r="DA128" s="27"/>
      <c r="DB128" s="27"/>
      <c r="DC128" s="27"/>
      <c r="DD128" s="27"/>
      <c r="DE128" s="27"/>
      <c r="DF128" s="27"/>
      <c r="DG128" s="27"/>
      <c r="DH128" s="27"/>
      <c r="DI128" s="27"/>
      <c r="DJ128" s="27"/>
      <c r="DK128" s="27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  <c r="EJ128" s="27"/>
      <c r="EK128" s="27"/>
      <c r="EL128" s="27"/>
      <c r="EM128" s="27"/>
      <c r="EN128" s="27"/>
      <c r="EO128" s="27"/>
      <c r="EP128" s="27"/>
      <c r="EQ128" s="27"/>
      <c r="ER128" s="27"/>
      <c r="ES128" s="27"/>
      <c r="ET128" s="27"/>
      <c r="EU128" s="27"/>
      <c r="EV128" s="27"/>
      <c r="EW128" s="27"/>
      <c r="EX128" s="27"/>
      <c r="EY128" s="27"/>
      <c r="EZ128" s="27"/>
      <c r="FA128" s="27"/>
      <c r="FB128" s="27"/>
      <c r="FC128" s="27"/>
      <c r="FD128" s="27"/>
      <c r="FE128" s="27"/>
      <c r="FF128" s="27"/>
      <c r="FG128" s="27"/>
      <c r="FH128" s="27"/>
      <c r="FI128" s="27"/>
      <c r="FJ128" s="27"/>
      <c r="FK128" s="27"/>
      <c r="FL128" s="27"/>
      <c r="FM128" s="27"/>
      <c r="FN128" s="27"/>
      <c r="FO128" s="27"/>
      <c r="FP128" s="27"/>
      <c r="FQ128" s="27"/>
      <c r="FR128" s="27"/>
      <c r="FS128" s="27"/>
      <c r="FT128" s="28"/>
      <c r="GC128" s="26"/>
      <c r="GD128" s="27"/>
      <c r="GE128" s="27"/>
      <c r="GF128" s="27"/>
      <c r="GG128" s="27"/>
      <c r="GH128" s="27"/>
      <c r="GI128" s="27"/>
      <c r="GJ128" s="27"/>
      <c r="GK128" s="27"/>
      <c r="GL128" s="27"/>
      <c r="GM128" s="27"/>
      <c r="GN128" s="27"/>
      <c r="GO128" s="27"/>
      <c r="GP128" s="27"/>
      <c r="GQ128" s="27"/>
      <c r="GR128" s="27"/>
      <c r="GS128" s="27"/>
      <c r="GT128" s="27"/>
      <c r="GU128" s="27"/>
      <c r="GV128" s="27"/>
      <c r="GW128" s="27"/>
      <c r="GX128" s="27"/>
      <c r="GY128" s="27"/>
      <c r="GZ128" s="27"/>
      <c r="HA128" s="27"/>
      <c r="HB128" s="27"/>
      <c r="HC128" s="27"/>
      <c r="HD128" s="27"/>
      <c r="HE128" s="27"/>
      <c r="HF128" s="27"/>
      <c r="HG128" s="27"/>
      <c r="HH128" s="27"/>
      <c r="HI128" s="27"/>
      <c r="HJ128" s="27"/>
      <c r="HK128" s="27"/>
      <c r="HL128" s="27"/>
      <c r="HM128" s="27"/>
      <c r="HN128" s="27"/>
      <c r="HO128" s="27"/>
      <c r="HP128" s="27"/>
      <c r="HQ128" s="27"/>
      <c r="HR128" s="27"/>
      <c r="HS128" s="27"/>
      <c r="HT128" s="27"/>
      <c r="HU128" s="27"/>
      <c r="HV128" s="27"/>
      <c r="HW128" s="27"/>
      <c r="HX128" s="27"/>
      <c r="HY128" s="27"/>
      <c r="HZ128" s="27"/>
      <c r="IA128" s="27"/>
      <c r="IB128" s="27"/>
      <c r="IC128" s="27"/>
      <c r="ID128" s="27"/>
      <c r="IE128" s="27"/>
      <c r="IF128" s="27"/>
      <c r="IG128" s="27"/>
      <c r="IH128" s="27"/>
      <c r="II128" s="27"/>
      <c r="IJ128" s="27"/>
      <c r="IK128" s="27"/>
      <c r="IL128" s="27"/>
      <c r="IM128" s="27"/>
      <c r="IN128" s="27"/>
      <c r="IO128" s="27"/>
      <c r="IP128" s="27"/>
      <c r="IQ128" s="27"/>
      <c r="IR128" s="27"/>
      <c r="IS128" s="27"/>
      <c r="IT128" s="27"/>
      <c r="IU128" s="27"/>
      <c r="IV128" s="27"/>
      <c r="IW128" s="27"/>
      <c r="IX128" s="27"/>
      <c r="IY128" s="27"/>
      <c r="IZ128" s="27"/>
      <c r="JA128" s="27"/>
      <c r="JB128" s="27"/>
      <c r="JC128" s="27"/>
      <c r="JD128" s="28"/>
    </row>
    <row r="129" spans="9:264" ht="7.5" customHeight="1" x14ac:dyDescent="0.25">
      <c r="I129" s="26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7"/>
      <c r="BD129" s="27"/>
      <c r="BE129" s="27"/>
      <c r="BF129" s="27"/>
      <c r="BG129" s="27"/>
      <c r="BH129" s="27"/>
      <c r="BI129" s="27"/>
      <c r="BJ129" s="27"/>
      <c r="BK129" s="27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27"/>
      <c r="CH129" s="27"/>
      <c r="CI129" s="27"/>
      <c r="CJ129" s="28"/>
      <c r="CS129" s="26"/>
      <c r="CT129" s="27"/>
      <c r="CU129" s="27"/>
      <c r="CV129" s="27"/>
      <c r="CW129" s="27"/>
      <c r="CX129" s="27"/>
      <c r="CY129" s="27"/>
      <c r="CZ129" s="27"/>
      <c r="DA129" s="27"/>
      <c r="DB129" s="27"/>
      <c r="DC129" s="27"/>
      <c r="DD129" s="27"/>
      <c r="DE129" s="27"/>
      <c r="DF129" s="27"/>
      <c r="DG129" s="27"/>
      <c r="DH129" s="27"/>
      <c r="DI129" s="27"/>
      <c r="DJ129" s="27"/>
      <c r="DK129" s="27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  <c r="EJ129" s="27"/>
      <c r="EK129" s="27"/>
      <c r="EL129" s="27"/>
      <c r="EM129" s="27"/>
      <c r="EN129" s="27"/>
      <c r="EO129" s="27"/>
      <c r="EP129" s="27"/>
      <c r="EQ129" s="27"/>
      <c r="ER129" s="27"/>
      <c r="ES129" s="27"/>
      <c r="ET129" s="27"/>
      <c r="EU129" s="27"/>
      <c r="EV129" s="27"/>
      <c r="EW129" s="27"/>
      <c r="EX129" s="27"/>
      <c r="EY129" s="27"/>
      <c r="EZ129" s="27"/>
      <c r="FA129" s="27"/>
      <c r="FB129" s="27"/>
      <c r="FC129" s="27"/>
      <c r="FD129" s="27"/>
      <c r="FE129" s="27"/>
      <c r="FF129" s="27"/>
      <c r="FG129" s="27"/>
      <c r="FH129" s="27"/>
      <c r="FI129" s="27"/>
      <c r="FJ129" s="27"/>
      <c r="FK129" s="27"/>
      <c r="FL129" s="27"/>
      <c r="FM129" s="27"/>
      <c r="FN129" s="27"/>
      <c r="FO129" s="27"/>
      <c r="FP129" s="27"/>
      <c r="FQ129" s="27"/>
      <c r="FR129" s="27"/>
      <c r="FS129" s="27"/>
      <c r="FT129" s="28"/>
      <c r="GC129" s="26"/>
      <c r="GD129" s="27"/>
      <c r="GE129" s="27"/>
      <c r="GF129" s="27"/>
      <c r="GG129" s="27"/>
      <c r="GH129" s="27"/>
      <c r="GI129" s="27"/>
      <c r="GJ129" s="27"/>
      <c r="GK129" s="27"/>
      <c r="GL129" s="27"/>
      <c r="GM129" s="27"/>
      <c r="GN129" s="27"/>
      <c r="GO129" s="27"/>
      <c r="GP129" s="27"/>
      <c r="GQ129" s="27"/>
      <c r="GR129" s="27"/>
      <c r="GS129" s="27"/>
      <c r="GT129" s="27"/>
      <c r="GU129" s="27"/>
      <c r="GV129" s="27"/>
      <c r="GW129" s="27"/>
      <c r="GX129" s="27"/>
      <c r="GY129" s="27"/>
      <c r="GZ129" s="27"/>
      <c r="HA129" s="27"/>
      <c r="HB129" s="27"/>
      <c r="HC129" s="27"/>
      <c r="HD129" s="27"/>
      <c r="HE129" s="27"/>
      <c r="HF129" s="27"/>
      <c r="HG129" s="27"/>
      <c r="HH129" s="27"/>
      <c r="HI129" s="27"/>
      <c r="HJ129" s="27"/>
      <c r="HK129" s="27"/>
      <c r="HL129" s="27"/>
      <c r="HM129" s="27"/>
      <c r="HN129" s="27"/>
      <c r="HO129" s="27"/>
      <c r="HP129" s="27"/>
      <c r="HQ129" s="27"/>
      <c r="HR129" s="27"/>
      <c r="HS129" s="27"/>
      <c r="HT129" s="27"/>
      <c r="HU129" s="27"/>
      <c r="HV129" s="27"/>
      <c r="HW129" s="27"/>
      <c r="HX129" s="27"/>
      <c r="HY129" s="27"/>
      <c r="HZ129" s="27"/>
      <c r="IA129" s="27"/>
      <c r="IB129" s="27"/>
      <c r="IC129" s="27"/>
      <c r="ID129" s="27"/>
      <c r="IE129" s="27"/>
      <c r="IF129" s="27"/>
      <c r="IG129" s="27"/>
      <c r="IH129" s="27"/>
      <c r="II129" s="27"/>
      <c r="IJ129" s="27"/>
      <c r="IK129" s="27"/>
      <c r="IL129" s="27"/>
      <c r="IM129" s="27"/>
      <c r="IN129" s="27"/>
      <c r="IO129" s="27"/>
      <c r="IP129" s="27"/>
      <c r="IQ129" s="27"/>
      <c r="IR129" s="27"/>
      <c r="IS129" s="27"/>
      <c r="IT129" s="27"/>
      <c r="IU129" s="27"/>
      <c r="IV129" s="27"/>
      <c r="IW129" s="27"/>
      <c r="IX129" s="27"/>
      <c r="IY129" s="27"/>
      <c r="IZ129" s="27"/>
      <c r="JA129" s="27"/>
      <c r="JB129" s="27"/>
      <c r="JC129" s="27"/>
      <c r="JD129" s="28"/>
    </row>
    <row r="130" spans="9:264" ht="7.5" customHeight="1" x14ac:dyDescent="0.25">
      <c r="I130" s="26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27"/>
      <c r="CH130" s="27"/>
      <c r="CI130" s="27"/>
      <c r="CJ130" s="28"/>
      <c r="CS130" s="26"/>
      <c r="CT130" s="27"/>
      <c r="CU130" s="27"/>
      <c r="CV130" s="27"/>
      <c r="CW130" s="27"/>
      <c r="CX130" s="27"/>
      <c r="CY130" s="27"/>
      <c r="CZ130" s="27"/>
      <c r="DA130" s="27"/>
      <c r="DB130" s="27"/>
      <c r="DC130" s="27"/>
      <c r="DD130" s="27"/>
      <c r="DE130" s="27"/>
      <c r="DF130" s="27"/>
      <c r="DG130" s="27"/>
      <c r="DH130" s="27"/>
      <c r="DI130" s="27"/>
      <c r="DJ130" s="27"/>
      <c r="DK130" s="27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  <c r="EJ130" s="27"/>
      <c r="EK130" s="27"/>
      <c r="EL130" s="27"/>
      <c r="EM130" s="27"/>
      <c r="EN130" s="27"/>
      <c r="EO130" s="27"/>
      <c r="EP130" s="27"/>
      <c r="EQ130" s="27"/>
      <c r="ER130" s="27"/>
      <c r="ES130" s="27"/>
      <c r="ET130" s="27"/>
      <c r="EU130" s="27"/>
      <c r="EV130" s="27"/>
      <c r="EW130" s="27"/>
      <c r="EX130" s="27"/>
      <c r="EY130" s="27"/>
      <c r="EZ130" s="27"/>
      <c r="FA130" s="27"/>
      <c r="FB130" s="27"/>
      <c r="FC130" s="27"/>
      <c r="FD130" s="27"/>
      <c r="FE130" s="27"/>
      <c r="FF130" s="27"/>
      <c r="FG130" s="27"/>
      <c r="FH130" s="27"/>
      <c r="FI130" s="27"/>
      <c r="FJ130" s="27"/>
      <c r="FK130" s="27"/>
      <c r="FL130" s="27"/>
      <c r="FM130" s="27"/>
      <c r="FN130" s="27"/>
      <c r="FO130" s="27"/>
      <c r="FP130" s="27"/>
      <c r="FQ130" s="27"/>
      <c r="FR130" s="27"/>
      <c r="FS130" s="27"/>
      <c r="FT130" s="28"/>
      <c r="GC130" s="26"/>
      <c r="GD130" s="27"/>
      <c r="GE130" s="27"/>
      <c r="GF130" s="27"/>
      <c r="GG130" s="27"/>
      <c r="GH130" s="27"/>
      <c r="GI130" s="27"/>
      <c r="GJ130" s="27"/>
      <c r="GK130" s="27"/>
      <c r="GL130" s="27"/>
      <c r="GM130" s="27"/>
      <c r="GN130" s="27"/>
      <c r="GO130" s="27"/>
      <c r="GP130" s="27"/>
      <c r="GQ130" s="27"/>
      <c r="GR130" s="27"/>
      <c r="GS130" s="27"/>
      <c r="GT130" s="27"/>
      <c r="GU130" s="27"/>
      <c r="GV130" s="27"/>
      <c r="GW130" s="27"/>
      <c r="GX130" s="27"/>
      <c r="GY130" s="27"/>
      <c r="GZ130" s="27"/>
      <c r="HA130" s="27"/>
      <c r="HB130" s="27"/>
      <c r="HC130" s="27"/>
      <c r="HD130" s="27"/>
      <c r="HE130" s="27"/>
      <c r="HF130" s="27"/>
      <c r="HG130" s="27"/>
      <c r="HH130" s="27"/>
      <c r="HI130" s="27"/>
      <c r="HJ130" s="27"/>
      <c r="HK130" s="27"/>
      <c r="HL130" s="27"/>
      <c r="HM130" s="27"/>
      <c r="HN130" s="27"/>
      <c r="HO130" s="27"/>
      <c r="HP130" s="27"/>
      <c r="HQ130" s="27"/>
      <c r="HR130" s="27"/>
      <c r="HS130" s="27"/>
      <c r="HT130" s="27"/>
      <c r="HU130" s="27"/>
      <c r="HV130" s="27"/>
      <c r="HW130" s="27"/>
      <c r="HX130" s="27"/>
      <c r="HY130" s="27"/>
      <c r="HZ130" s="27"/>
      <c r="IA130" s="27"/>
      <c r="IB130" s="27"/>
      <c r="IC130" s="27"/>
      <c r="ID130" s="27"/>
      <c r="IE130" s="27"/>
      <c r="IF130" s="27"/>
      <c r="IG130" s="27"/>
      <c r="IH130" s="27"/>
      <c r="II130" s="27"/>
      <c r="IJ130" s="27"/>
      <c r="IK130" s="27"/>
      <c r="IL130" s="27"/>
      <c r="IM130" s="27"/>
      <c r="IN130" s="27"/>
      <c r="IO130" s="27"/>
      <c r="IP130" s="27"/>
      <c r="IQ130" s="27"/>
      <c r="IR130" s="27"/>
      <c r="IS130" s="27"/>
      <c r="IT130" s="27"/>
      <c r="IU130" s="27"/>
      <c r="IV130" s="27"/>
      <c r="IW130" s="27"/>
      <c r="IX130" s="27"/>
      <c r="IY130" s="27"/>
      <c r="IZ130" s="27"/>
      <c r="JA130" s="27"/>
      <c r="JB130" s="27"/>
      <c r="JC130" s="27"/>
      <c r="JD130" s="28"/>
    </row>
    <row r="131" spans="9:264" ht="7.5" customHeight="1" x14ac:dyDescent="0.25">
      <c r="I131" s="26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F131" s="27"/>
      <c r="BG131" s="27"/>
      <c r="BH131" s="27"/>
      <c r="BI131" s="27"/>
      <c r="BJ131" s="27"/>
      <c r="BK131" s="27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27"/>
      <c r="CH131" s="27"/>
      <c r="CI131" s="27"/>
      <c r="CJ131" s="28"/>
      <c r="CS131" s="26"/>
      <c r="CT131" s="27"/>
      <c r="CU131" s="27"/>
      <c r="CV131" s="27"/>
      <c r="CW131" s="27"/>
      <c r="CX131" s="27"/>
      <c r="CY131" s="27"/>
      <c r="CZ131" s="27"/>
      <c r="DA131" s="27"/>
      <c r="DB131" s="27"/>
      <c r="DC131" s="27"/>
      <c r="DD131" s="27"/>
      <c r="DE131" s="27"/>
      <c r="DF131" s="27"/>
      <c r="DG131" s="27"/>
      <c r="DH131" s="27"/>
      <c r="DI131" s="27"/>
      <c r="DJ131" s="27"/>
      <c r="DK131" s="27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  <c r="EJ131" s="27"/>
      <c r="EK131" s="27"/>
      <c r="EL131" s="27"/>
      <c r="EM131" s="27"/>
      <c r="EN131" s="27"/>
      <c r="EO131" s="27"/>
      <c r="EP131" s="27"/>
      <c r="EQ131" s="27"/>
      <c r="ER131" s="27"/>
      <c r="ES131" s="27"/>
      <c r="ET131" s="27"/>
      <c r="EU131" s="27"/>
      <c r="EV131" s="27"/>
      <c r="EW131" s="27"/>
      <c r="EX131" s="27"/>
      <c r="EY131" s="27"/>
      <c r="EZ131" s="27"/>
      <c r="FA131" s="27"/>
      <c r="FB131" s="27"/>
      <c r="FC131" s="27"/>
      <c r="FD131" s="27"/>
      <c r="FE131" s="27"/>
      <c r="FF131" s="27"/>
      <c r="FG131" s="27"/>
      <c r="FH131" s="27"/>
      <c r="FI131" s="27"/>
      <c r="FJ131" s="27"/>
      <c r="FK131" s="27"/>
      <c r="FL131" s="27"/>
      <c r="FM131" s="27"/>
      <c r="FN131" s="27"/>
      <c r="FO131" s="27"/>
      <c r="FP131" s="27"/>
      <c r="FQ131" s="27"/>
      <c r="FR131" s="27"/>
      <c r="FS131" s="27"/>
      <c r="FT131" s="28"/>
      <c r="GC131" s="26"/>
      <c r="GD131" s="27"/>
      <c r="GE131" s="27"/>
      <c r="GF131" s="27"/>
      <c r="GG131" s="27"/>
      <c r="GH131" s="27"/>
      <c r="GI131" s="27"/>
      <c r="GJ131" s="27"/>
      <c r="GK131" s="27"/>
      <c r="GL131" s="27"/>
      <c r="GM131" s="27"/>
      <c r="GN131" s="27"/>
      <c r="GO131" s="27"/>
      <c r="GP131" s="27"/>
      <c r="GQ131" s="27"/>
      <c r="GR131" s="27"/>
      <c r="GS131" s="27"/>
      <c r="GT131" s="27"/>
      <c r="GU131" s="27"/>
      <c r="GV131" s="27"/>
      <c r="GW131" s="27"/>
      <c r="GX131" s="27"/>
      <c r="GY131" s="27"/>
      <c r="GZ131" s="27"/>
      <c r="HA131" s="27"/>
      <c r="HB131" s="27"/>
      <c r="HC131" s="27"/>
      <c r="HD131" s="27"/>
      <c r="HE131" s="27"/>
      <c r="HF131" s="27"/>
      <c r="HG131" s="27"/>
      <c r="HH131" s="27"/>
      <c r="HI131" s="27"/>
      <c r="HJ131" s="27"/>
      <c r="HK131" s="27"/>
      <c r="HL131" s="27"/>
      <c r="HM131" s="27"/>
      <c r="HN131" s="27"/>
      <c r="HO131" s="27"/>
      <c r="HP131" s="27"/>
      <c r="HQ131" s="27"/>
      <c r="HR131" s="27"/>
      <c r="HS131" s="27"/>
      <c r="HT131" s="27"/>
      <c r="HU131" s="27"/>
      <c r="HV131" s="27"/>
      <c r="HW131" s="27"/>
      <c r="HX131" s="27"/>
      <c r="HY131" s="27"/>
      <c r="HZ131" s="27"/>
      <c r="IA131" s="27"/>
      <c r="IB131" s="27"/>
      <c r="IC131" s="27"/>
      <c r="ID131" s="27"/>
      <c r="IE131" s="27"/>
      <c r="IF131" s="27"/>
      <c r="IG131" s="27"/>
      <c r="IH131" s="27"/>
      <c r="II131" s="27"/>
      <c r="IJ131" s="27"/>
      <c r="IK131" s="27"/>
      <c r="IL131" s="27"/>
      <c r="IM131" s="27"/>
      <c r="IN131" s="27"/>
      <c r="IO131" s="27"/>
      <c r="IP131" s="27"/>
      <c r="IQ131" s="27"/>
      <c r="IR131" s="27"/>
      <c r="IS131" s="27"/>
      <c r="IT131" s="27"/>
      <c r="IU131" s="27"/>
      <c r="IV131" s="27"/>
      <c r="IW131" s="27"/>
      <c r="IX131" s="27"/>
      <c r="IY131" s="27"/>
      <c r="IZ131" s="27"/>
      <c r="JA131" s="27"/>
      <c r="JB131" s="27"/>
      <c r="JC131" s="27"/>
      <c r="JD131" s="28"/>
    </row>
    <row r="132" spans="9:264" ht="7.5" customHeight="1" x14ac:dyDescent="0.25">
      <c r="I132" s="26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8"/>
      <c r="CS132" s="26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  <c r="EJ132" s="27"/>
      <c r="EK132" s="27"/>
      <c r="EL132" s="27"/>
      <c r="EM132" s="27"/>
      <c r="EN132" s="27"/>
      <c r="EO132" s="27"/>
      <c r="EP132" s="27"/>
      <c r="EQ132" s="27"/>
      <c r="ER132" s="27"/>
      <c r="ES132" s="27"/>
      <c r="ET132" s="27"/>
      <c r="EU132" s="27"/>
      <c r="EV132" s="27"/>
      <c r="EW132" s="27"/>
      <c r="EX132" s="27"/>
      <c r="EY132" s="27"/>
      <c r="EZ132" s="27"/>
      <c r="FA132" s="27"/>
      <c r="FB132" s="27"/>
      <c r="FC132" s="27"/>
      <c r="FD132" s="27"/>
      <c r="FE132" s="27"/>
      <c r="FF132" s="27"/>
      <c r="FG132" s="27"/>
      <c r="FH132" s="27"/>
      <c r="FI132" s="27"/>
      <c r="FJ132" s="27"/>
      <c r="FK132" s="27"/>
      <c r="FL132" s="27"/>
      <c r="FM132" s="27"/>
      <c r="FN132" s="27"/>
      <c r="FO132" s="27"/>
      <c r="FP132" s="27"/>
      <c r="FQ132" s="27"/>
      <c r="FR132" s="27"/>
      <c r="FS132" s="27"/>
      <c r="FT132" s="28"/>
      <c r="GC132" s="26"/>
      <c r="GD132" s="27"/>
      <c r="GE132" s="27"/>
      <c r="GF132" s="27"/>
      <c r="GG132" s="27"/>
      <c r="GH132" s="27"/>
      <c r="GI132" s="27"/>
      <c r="GJ132" s="27"/>
      <c r="GK132" s="27"/>
      <c r="GL132" s="27"/>
      <c r="GM132" s="27"/>
      <c r="GN132" s="27"/>
      <c r="GO132" s="27"/>
      <c r="GP132" s="27"/>
      <c r="GQ132" s="27"/>
      <c r="GR132" s="27"/>
      <c r="GS132" s="27"/>
      <c r="GT132" s="27"/>
      <c r="GU132" s="27"/>
      <c r="GV132" s="27"/>
      <c r="GW132" s="27"/>
      <c r="GX132" s="27"/>
      <c r="GY132" s="27"/>
      <c r="GZ132" s="27"/>
      <c r="HA132" s="27"/>
      <c r="HB132" s="27"/>
      <c r="HC132" s="27"/>
      <c r="HD132" s="27"/>
      <c r="HE132" s="27"/>
      <c r="HF132" s="27"/>
      <c r="HG132" s="27"/>
      <c r="HH132" s="27"/>
      <c r="HI132" s="27"/>
      <c r="HJ132" s="27"/>
      <c r="HK132" s="27"/>
      <c r="HL132" s="27"/>
      <c r="HM132" s="27"/>
      <c r="HN132" s="27"/>
      <c r="HO132" s="27"/>
      <c r="HP132" s="27"/>
      <c r="HQ132" s="27"/>
      <c r="HR132" s="27"/>
      <c r="HS132" s="27"/>
      <c r="HT132" s="27"/>
      <c r="HU132" s="27"/>
      <c r="HV132" s="27"/>
      <c r="HW132" s="27"/>
      <c r="HX132" s="27"/>
      <c r="HY132" s="27"/>
      <c r="HZ132" s="27"/>
      <c r="IA132" s="27"/>
      <c r="IB132" s="27"/>
      <c r="IC132" s="27"/>
      <c r="ID132" s="27"/>
      <c r="IE132" s="27"/>
      <c r="IF132" s="27"/>
      <c r="IG132" s="27"/>
      <c r="IH132" s="27"/>
      <c r="II132" s="27"/>
      <c r="IJ132" s="27"/>
      <c r="IK132" s="27"/>
      <c r="IL132" s="27"/>
      <c r="IM132" s="27"/>
      <c r="IN132" s="27"/>
      <c r="IO132" s="27"/>
      <c r="IP132" s="27"/>
      <c r="IQ132" s="27"/>
      <c r="IR132" s="27"/>
      <c r="IS132" s="27"/>
      <c r="IT132" s="27"/>
      <c r="IU132" s="27"/>
      <c r="IV132" s="27"/>
      <c r="IW132" s="27"/>
      <c r="IX132" s="27"/>
      <c r="IY132" s="27"/>
      <c r="IZ132" s="27"/>
      <c r="JA132" s="27"/>
      <c r="JB132" s="27"/>
      <c r="JC132" s="27"/>
      <c r="JD132" s="28"/>
    </row>
    <row r="133" spans="9:264" ht="7.5" customHeight="1" x14ac:dyDescent="0.25">
      <c r="I133" s="26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8"/>
      <c r="CS133" s="26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  <c r="EJ133" s="27"/>
      <c r="EK133" s="27"/>
      <c r="EL133" s="27"/>
      <c r="EM133" s="27"/>
      <c r="EN133" s="27"/>
      <c r="EO133" s="27"/>
      <c r="EP133" s="27"/>
      <c r="EQ133" s="27"/>
      <c r="ER133" s="27"/>
      <c r="ES133" s="27"/>
      <c r="ET133" s="27"/>
      <c r="EU133" s="27"/>
      <c r="EV133" s="27"/>
      <c r="EW133" s="27"/>
      <c r="EX133" s="27"/>
      <c r="EY133" s="27"/>
      <c r="EZ133" s="27"/>
      <c r="FA133" s="27"/>
      <c r="FB133" s="27"/>
      <c r="FC133" s="27"/>
      <c r="FD133" s="27"/>
      <c r="FE133" s="27"/>
      <c r="FF133" s="27"/>
      <c r="FG133" s="27"/>
      <c r="FH133" s="27"/>
      <c r="FI133" s="27"/>
      <c r="FJ133" s="27"/>
      <c r="FK133" s="27"/>
      <c r="FL133" s="27"/>
      <c r="FM133" s="27"/>
      <c r="FN133" s="27"/>
      <c r="FO133" s="27"/>
      <c r="FP133" s="27"/>
      <c r="FQ133" s="27"/>
      <c r="FR133" s="27"/>
      <c r="FS133" s="27"/>
      <c r="FT133" s="28"/>
      <c r="GC133" s="26"/>
      <c r="GD133" s="27"/>
      <c r="GE133" s="27"/>
      <c r="GF133" s="27"/>
      <c r="GG133" s="27"/>
      <c r="GH133" s="27"/>
      <c r="GI133" s="27"/>
      <c r="GJ133" s="27"/>
      <c r="GK133" s="27"/>
      <c r="GL133" s="27"/>
      <c r="GM133" s="27"/>
      <c r="GN133" s="27"/>
      <c r="GO133" s="27"/>
      <c r="GP133" s="27"/>
      <c r="GQ133" s="27"/>
      <c r="GR133" s="27"/>
      <c r="GS133" s="27"/>
      <c r="GT133" s="27"/>
      <c r="GU133" s="27"/>
      <c r="GV133" s="27"/>
      <c r="GW133" s="27"/>
      <c r="GX133" s="27"/>
      <c r="GY133" s="27"/>
      <c r="GZ133" s="27"/>
      <c r="HA133" s="27"/>
      <c r="HB133" s="27"/>
      <c r="HC133" s="27"/>
      <c r="HD133" s="27"/>
      <c r="HE133" s="27"/>
      <c r="HF133" s="27"/>
      <c r="HG133" s="27"/>
      <c r="HH133" s="27"/>
      <c r="HI133" s="27"/>
      <c r="HJ133" s="27"/>
      <c r="HK133" s="27"/>
      <c r="HL133" s="27"/>
      <c r="HM133" s="27"/>
      <c r="HN133" s="27"/>
      <c r="HO133" s="27"/>
      <c r="HP133" s="27"/>
      <c r="HQ133" s="27"/>
      <c r="HR133" s="27"/>
      <c r="HS133" s="27"/>
      <c r="HT133" s="27"/>
      <c r="HU133" s="27"/>
      <c r="HV133" s="27"/>
      <c r="HW133" s="27"/>
      <c r="HX133" s="27"/>
      <c r="HY133" s="27"/>
      <c r="HZ133" s="27"/>
      <c r="IA133" s="27"/>
      <c r="IB133" s="27"/>
      <c r="IC133" s="27"/>
      <c r="ID133" s="27"/>
      <c r="IE133" s="27"/>
      <c r="IF133" s="27"/>
      <c r="IG133" s="27"/>
      <c r="IH133" s="27"/>
      <c r="II133" s="27"/>
      <c r="IJ133" s="27"/>
      <c r="IK133" s="27"/>
      <c r="IL133" s="27"/>
      <c r="IM133" s="27"/>
      <c r="IN133" s="27"/>
      <c r="IO133" s="27"/>
      <c r="IP133" s="27"/>
      <c r="IQ133" s="27"/>
      <c r="IR133" s="27"/>
      <c r="IS133" s="27"/>
      <c r="IT133" s="27"/>
      <c r="IU133" s="27"/>
      <c r="IV133" s="27"/>
      <c r="IW133" s="27"/>
      <c r="IX133" s="27"/>
      <c r="IY133" s="27"/>
      <c r="IZ133" s="27"/>
      <c r="JA133" s="27"/>
      <c r="JB133" s="27"/>
      <c r="JC133" s="27"/>
      <c r="JD133" s="28"/>
    </row>
    <row r="134" spans="9:264" ht="7.5" customHeight="1" x14ac:dyDescent="0.25">
      <c r="I134" s="26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27"/>
      <c r="CH134" s="27"/>
      <c r="CI134" s="27"/>
      <c r="CJ134" s="28"/>
      <c r="CS134" s="26"/>
      <c r="CT134" s="27"/>
      <c r="CU134" s="27"/>
      <c r="CV134" s="27"/>
      <c r="CW134" s="27"/>
      <c r="CX134" s="27"/>
      <c r="CY134" s="27"/>
      <c r="CZ134" s="27"/>
      <c r="DA134" s="27"/>
      <c r="DB134" s="27"/>
      <c r="DC134" s="27"/>
      <c r="DD134" s="27"/>
      <c r="DE134" s="27"/>
      <c r="DF134" s="27"/>
      <c r="DG134" s="27"/>
      <c r="DH134" s="27"/>
      <c r="DI134" s="27"/>
      <c r="DJ134" s="27"/>
      <c r="DK134" s="27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  <c r="EJ134" s="27"/>
      <c r="EK134" s="27"/>
      <c r="EL134" s="27"/>
      <c r="EM134" s="27"/>
      <c r="EN134" s="27"/>
      <c r="EO134" s="27"/>
      <c r="EP134" s="27"/>
      <c r="EQ134" s="27"/>
      <c r="ER134" s="27"/>
      <c r="ES134" s="27"/>
      <c r="ET134" s="27"/>
      <c r="EU134" s="27"/>
      <c r="EV134" s="27"/>
      <c r="EW134" s="27"/>
      <c r="EX134" s="27"/>
      <c r="EY134" s="27"/>
      <c r="EZ134" s="27"/>
      <c r="FA134" s="27"/>
      <c r="FB134" s="27"/>
      <c r="FC134" s="27"/>
      <c r="FD134" s="27"/>
      <c r="FE134" s="27"/>
      <c r="FF134" s="27"/>
      <c r="FG134" s="27"/>
      <c r="FH134" s="27"/>
      <c r="FI134" s="27"/>
      <c r="FJ134" s="27"/>
      <c r="FK134" s="27"/>
      <c r="FL134" s="27"/>
      <c r="FM134" s="27"/>
      <c r="FN134" s="27"/>
      <c r="FO134" s="27"/>
      <c r="FP134" s="27"/>
      <c r="FQ134" s="27"/>
      <c r="FR134" s="27"/>
      <c r="FS134" s="27"/>
      <c r="FT134" s="28"/>
      <c r="GC134" s="26"/>
      <c r="GD134" s="27"/>
      <c r="GE134" s="27"/>
      <c r="GF134" s="27"/>
      <c r="GG134" s="27"/>
      <c r="GH134" s="27"/>
      <c r="GI134" s="27"/>
      <c r="GJ134" s="27"/>
      <c r="GK134" s="27"/>
      <c r="GL134" s="27"/>
      <c r="GM134" s="27"/>
      <c r="GN134" s="27"/>
      <c r="GO134" s="27"/>
      <c r="GP134" s="27"/>
      <c r="GQ134" s="27"/>
      <c r="GR134" s="27"/>
      <c r="GS134" s="27"/>
      <c r="GT134" s="27"/>
      <c r="GU134" s="27"/>
      <c r="GV134" s="27"/>
      <c r="GW134" s="27"/>
      <c r="GX134" s="27"/>
      <c r="GY134" s="27"/>
      <c r="GZ134" s="27"/>
      <c r="HA134" s="27"/>
      <c r="HB134" s="27"/>
      <c r="HC134" s="27"/>
      <c r="HD134" s="27"/>
      <c r="HE134" s="27"/>
      <c r="HF134" s="27"/>
      <c r="HG134" s="27"/>
      <c r="HH134" s="27"/>
      <c r="HI134" s="27"/>
      <c r="HJ134" s="27"/>
      <c r="HK134" s="27"/>
      <c r="HL134" s="27"/>
      <c r="HM134" s="27"/>
      <c r="HN134" s="27"/>
      <c r="HO134" s="27"/>
      <c r="HP134" s="27"/>
      <c r="HQ134" s="27"/>
      <c r="HR134" s="27"/>
      <c r="HS134" s="27"/>
      <c r="HT134" s="27"/>
      <c r="HU134" s="27"/>
      <c r="HV134" s="27"/>
      <c r="HW134" s="27"/>
      <c r="HX134" s="27"/>
      <c r="HY134" s="27"/>
      <c r="HZ134" s="27"/>
      <c r="IA134" s="27"/>
      <c r="IB134" s="27"/>
      <c r="IC134" s="27"/>
      <c r="ID134" s="27"/>
      <c r="IE134" s="27"/>
      <c r="IF134" s="27"/>
      <c r="IG134" s="27"/>
      <c r="IH134" s="27"/>
      <c r="II134" s="27"/>
      <c r="IJ134" s="27"/>
      <c r="IK134" s="27"/>
      <c r="IL134" s="27"/>
      <c r="IM134" s="27"/>
      <c r="IN134" s="27"/>
      <c r="IO134" s="27"/>
      <c r="IP134" s="27"/>
      <c r="IQ134" s="27"/>
      <c r="IR134" s="27"/>
      <c r="IS134" s="27"/>
      <c r="IT134" s="27"/>
      <c r="IU134" s="27"/>
      <c r="IV134" s="27"/>
      <c r="IW134" s="27"/>
      <c r="IX134" s="27"/>
      <c r="IY134" s="27"/>
      <c r="IZ134" s="27"/>
      <c r="JA134" s="27"/>
      <c r="JB134" s="27"/>
      <c r="JC134" s="27"/>
      <c r="JD134" s="28"/>
    </row>
    <row r="135" spans="9:264" ht="7.5" customHeight="1" x14ac:dyDescent="0.25">
      <c r="I135" s="26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7"/>
      <c r="BD135" s="27"/>
      <c r="BE135" s="27"/>
      <c r="BF135" s="27"/>
      <c r="BG135" s="27"/>
      <c r="BH135" s="27"/>
      <c r="BI135" s="27"/>
      <c r="BJ135" s="27"/>
      <c r="BK135" s="27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27"/>
      <c r="CH135" s="27"/>
      <c r="CI135" s="27"/>
      <c r="CJ135" s="28"/>
      <c r="CS135" s="26"/>
      <c r="CT135" s="27"/>
      <c r="CU135" s="27"/>
      <c r="CV135" s="27"/>
      <c r="CW135" s="27"/>
      <c r="CX135" s="27"/>
      <c r="CY135" s="27"/>
      <c r="CZ135" s="27"/>
      <c r="DA135" s="27"/>
      <c r="DB135" s="27"/>
      <c r="DC135" s="27"/>
      <c r="DD135" s="27"/>
      <c r="DE135" s="27"/>
      <c r="DF135" s="27"/>
      <c r="DG135" s="27"/>
      <c r="DH135" s="27"/>
      <c r="DI135" s="27"/>
      <c r="DJ135" s="27"/>
      <c r="DK135" s="27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  <c r="EJ135" s="27"/>
      <c r="EK135" s="27"/>
      <c r="EL135" s="27"/>
      <c r="EM135" s="27"/>
      <c r="EN135" s="27"/>
      <c r="EO135" s="27"/>
      <c r="EP135" s="27"/>
      <c r="EQ135" s="27"/>
      <c r="ER135" s="27"/>
      <c r="ES135" s="27"/>
      <c r="ET135" s="27"/>
      <c r="EU135" s="27"/>
      <c r="EV135" s="27"/>
      <c r="EW135" s="27"/>
      <c r="EX135" s="27"/>
      <c r="EY135" s="27"/>
      <c r="EZ135" s="27"/>
      <c r="FA135" s="27"/>
      <c r="FB135" s="27"/>
      <c r="FC135" s="27"/>
      <c r="FD135" s="27"/>
      <c r="FE135" s="27"/>
      <c r="FF135" s="27"/>
      <c r="FG135" s="27"/>
      <c r="FH135" s="27"/>
      <c r="FI135" s="27"/>
      <c r="FJ135" s="27"/>
      <c r="FK135" s="27"/>
      <c r="FL135" s="27"/>
      <c r="FM135" s="27"/>
      <c r="FN135" s="27"/>
      <c r="FO135" s="27"/>
      <c r="FP135" s="27"/>
      <c r="FQ135" s="27"/>
      <c r="FR135" s="27"/>
      <c r="FS135" s="27"/>
      <c r="FT135" s="28"/>
      <c r="GC135" s="26"/>
      <c r="GD135" s="27"/>
      <c r="GE135" s="27"/>
      <c r="GF135" s="27"/>
      <c r="GG135" s="27"/>
      <c r="GH135" s="27"/>
      <c r="GI135" s="27"/>
      <c r="GJ135" s="27"/>
      <c r="GK135" s="27"/>
      <c r="GL135" s="27"/>
      <c r="GM135" s="27"/>
      <c r="GN135" s="27"/>
      <c r="GO135" s="27"/>
      <c r="GP135" s="27"/>
      <c r="GQ135" s="27"/>
      <c r="GR135" s="27"/>
      <c r="GS135" s="27"/>
      <c r="GT135" s="27"/>
      <c r="GU135" s="27"/>
      <c r="GV135" s="27"/>
      <c r="GW135" s="27"/>
      <c r="GX135" s="27"/>
      <c r="GY135" s="27"/>
      <c r="GZ135" s="27"/>
      <c r="HA135" s="27"/>
      <c r="HB135" s="27"/>
      <c r="HC135" s="27"/>
      <c r="HD135" s="27"/>
      <c r="HE135" s="27"/>
      <c r="HF135" s="27"/>
      <c r="HG135" s="27"/>
      <c r="HH135" s="27"/>
      <c r="HI135" s="27"/>
      <c r="HJ135" s="27"/>
      <c r="HK135" s="27"/>
      <c r="HL135" s="27"/>
      <c r="HM135" s="27"/>
      <c r="HN135" s="27"/>
      <c r="HO135" s="27"/>
      <c r="HP135" s="27"/>
      <c r="HQ135" s="27"/>
      <c r="HR135" s="27"/>
      <c r="HS135" s="27"/>
      <c r="HT135" s="27"/>
      <c r="HU135" s="27"/>
      <c r="HV135" s="27"/>
      <c r="HW135" s="27"/>
      <c r="HX135" s="27"/>
      <c r="HY135" s="27"/>
      <c r="HZ135" s="27"/>
      <c r="IA135" s="27"/>
      <c r="IB135" s="27"/>
      <c r="IC135" s="27"/>
      <c r="ID135" s="27"/>
      <c r="IE135" s="27"/>
      <c r="IF135" s="27"/>
      <c r="IG135" s="27"/>
      <c r="IH135" s="27"/>
      <c r="II135" s="27"/>
      <c r="IJ135" s="27"/>
      <c r="IK135" s="27"/>
      <c r="IL135" s="27"/>
      <c r="IM135" s="27"/>
      <c r="IN135" s="27"/>
      <c r="IO135" s="27"/>
      <c r="IP135" s="27"/>
      <c r="IQ135" s="27"/>
      <c r="IR135" s="27"/>
      <c r="IS135" s="27"/>
      <c r="IT135" s="27"/>
      <c r="IU135" s="27"/>
      <c r="IV135" s="27"/>
      <c r="IW135" s="27"/>
      <c r="IX135" s="27"/>
      <c r="IY135" s="27"/>
      <c r="IZ135" s="27"/>
      <c r="JA135" s="27"/>
      <c r="JB135" s="27"/>
      <c r="JC135" s="27"/>
      <c r="JD135" s="28"/>
    </row>
    <row r="136" spans="9:264" ht="7.5" customHeight="1" x14ac:dyDescent="0.25">
      <c r="I136" s="26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K136" s="27"/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27"/>
      <c r="CH136" s="27"/>
      <c r="CI136" s="27"/>
      <c r="CJ136" s="28"/>
      <c r="CS136" s="26"/>
      <c r="CT136" s="27"/>
      <c r="CU136" s="27"/>
      <c r="CV136" s="27"/>
      <c r="CW136" s="27"/>
      <c r="CX136" s="27"/>
      <c r="CY136" s="27"/>
      <c r="CZ136" s="27"/>
      <c r="DA136" s="27"/>
      <c r="DB136" s="27"/>
      <c r="DC136" s="27"/>
      <c r="DD136" s="27"/>
      <c r="DE136" s="27"/>
      <c r="DF136" s="27"/>
      <c r="DG136" s="27"/>
      <c r="DH136" s="27"/>
      <c r="DI136" s="27"/>
      <c r="DJ136" s="27"/>
      <c r="DK136" s="27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  <c r="EJ136" s="27"/>
      <c r="EK136" s="27"/>
      <c r="EL136" s="27"/>
      <c r="EM136" s="27"/>
      <c r="EN136" s="27"/>
      <c r="EO136" s="27"/>
      <c r="EP136" s="27"/>
      <c r="EQ136" s="27"/>
      <c r="ER136" s="27"/>
      <c r="ES136" s="27"/>
      <c r="ET136" s="27"/>
      <c r="EU136" s="27"/>
      <c r="EV136" s="27"/>
      <c r="EW136" s="27"/>
      <c r="EX136" s="27"/>
      <c r="EY136" s="27"/>
      <c r="EZ136" s="27"/>
      <c r="FA136" s="27"/>
      <c r="FB136" s="27"/>
      <c r="FC136" s="27"/>
      <c r="FD136" s="27"/>
      <c r="FE136" s="27"/>
      <c r="FF136" s="27"/>
      <c r="FG136" s="27"/>
      <c r="FH136" s="27"/>
      <c r="FI136" s="27"/>
      <c r="FJ136" s="27"/>
      <c r="FK136" s="27"/>
      <c r="FL136" s="27"/>
      <c r="FM136" s="27"/>
      <c r="FN136" s="27"/>
      <c r="FO136" s="27"/>
      <c r="FP136" s="27"/>
      <c r="FQ136" s="27"/>
      <c r="FR136" s="27"/>
      <c r="FS136" s="27"/>
      <c r="FT136" s="28"/>
      <c r="GC136" s="26"/>
      <c r="GD136" s="27"/>
      <c r="GE136" s="27"/>
      <c r="GF136" s="27"/>
      <c r="GG136" s="27"/>
      <c r="GH136" s="27"/>
      <c r="GI136" s="27"/>
      <c r="GJ136" s="27"/>
      <c r="GK136" s="27"/>
      <c r="GL136" s="27"/>
      <c r="GM136" s="27"/>
      <c r="GN136" s="27"/>
      <c r="GO136" s="27"/>
      <c r="GP136" s="27"/>
      <c r="GQ136" s="27"/>
      <c r="GR136" s="27"/>
      <c r="GS136" s="27"/>
      <c r="GT136" s="27"/>
      <c r="GU136" s="27"/>
      <c r="GV136" s="27"/>
      <c r="GW136" s="27"/>
      <c r="GX136" s="27"/>
      <c r="GY136" s="27"/>
      <c r="GZ136" s="27"/>
      <c r="HA136" s="27"/>
      <c r="HB136" s="27"/>
      <c r="HC136" s="27"/>
      <c r="HD136" s="27"/>
      <c r="HE136" s="27"/>
      <c r="HF136" s="27"/>
      <c r="HG136" s="27"/>
      <c r="HH136" s="27"/>
      <c r="HI136" s="27"/>
      <c r="HJ136" s="27"/>
      <c r="HK136" s="27"/>
      <c r="HL136" s="27"/>
      <c r="HM136" s="27"/>
      <c r="HN136" s="27"/>
      <c r="HO136" s="27"/>
      <c r="HP136" s="27"/>
      <c r="HQ136" s="27"/>
      <c r="HR136" s="27"/>
      <c r="HS136" s="27"/>
      <c r="HT136" s="27"/>
      <c r="HU136" s="27"/>
      <c r="HV136" s="27"/>
      <c r="HW136" s="27"/>
      <c r="HX136" s="27"/>
      <c r="HY136" s="27"/>
      <c r="HZ136" s="27"/>
      <c r="IA136" s="27"/>
      <c r="IB136" s="27"/>
      <c r="IC136" s="27"/>
      <c r="ID136" s="27"/>
      <c r="IE136" s="27"/>
      <c r="IF136" s="27"/>
      <c r="IG136" s="27"/>
      <c r="IH136" s="27"/>
      <c r="II136" s="27"/>
      <c r="IJ136" s="27"/>
      <c r="IK136" s="27"/>
      <c r="IL136" s="27"/>
      <c r="IM136" s="27"/>
      <c r="IN136" s="27"/>
      <c r="IO136" s="27"/>
      <c r="IP136" s="27"/>
      <c r="IQ136" s="27"/>
      <c r="IR136" s="27"/>
      <c r="IS136" s="27"/>
      <c r="IT136" s="27"/>
      <c r="IU136" s="27"/>
      <c r="IV136" s="27"/>
      <c r="IW136" s="27"/>
      <c r="IX136" s="27"/>
      <c r="IY136" s="27"/>
      <c r="IZ136" s="27"/>
      <c r="JA136" s="27"/>
      <c r="JB136" s="27"/>
      <c r="JC136" s="27"/>
      <c r="JD136" s="28"/>
    </row>
    <row r="137" spans="9:264" ht="7.5" customHeight="1" x14ac:dyDescent="0.25">
      <c r="I137" s="26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7"/>
      <c r="BD137" s="27"/>
      <c r="BE137" s="27"/>
      <c r="BF137" s="27"/>
      <c r="BG137" s="27"/>
      <c r="BH137" s="27"/>
      <c r="BI137" s="27"/>
      <c r="BJ137" s="27"/>
      <c r="BK137" s="27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27"/>
      <c r="CH137" s="27"/>
      <c r="CI137" s="27"/>
      <c r="CJ137" s="28"/>
      <c r="CS137" s="26"/>
      <c r="CT137" s="27"/>
      <c r="CU137" s="27"/>
      <c r="CV137" s="27"/>
      <c r="CW137" s="27"/>
      <c r="CX137" s="27"/>
      <c r="CY137" s="27"/>
      <c r="CZ137" s="27"/>
      <c r="DA137" s="27"/>
      <c r="DB137" s="27"/>
      <c r="DC137" s="27"/>
      <c r="DD137" s="27"/>
      <c r="DE137" s="27"/>
      <c r="DF137" s="27"/>
      <c r="DG137" s="27"/>
      <c r="DH137" s="27"/>
      <c r="DI137" s="27"/>
      <c r="DJ137" s="27"/>
      <c r="DK137" s="27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  <c r="EJ137" s="27"/>
      <c r="EK137" s="27"/>
      <c r="EL137" s="27"/>
      <c r="EM137" s="27"/>
      <c r="EN137" s="27"/>
      <c r="EO137" s="27"/>
      <c r="EP137" s="27"/>
      <c r="EQ137" s="27"/>
      <c r="ER137" s="27"/>
      <c r="ES137" s="27"/>
      <c r="ET137" s="27"/>
      <c r="EU137" s="27"/>
      <c r="EV137" s="27"/>
      <c r="EW137" s="27"/>
      <c r="EX137" s="27"/>
      <c r="EY137" s="27"/>
      <c r="EZ137" s="27"/>
      <c r="FA137" s="27"/>
      <c r="FB137" s="27"/>
      <c r="FC137" s="27"/>
      <c r="FD137" s="27"/>
      <c r="FE137" s="27"/>
      <c r="FF137" s="27"/>
      <c r="FG137" s="27"/>
      <c r="FH137" s="27"/>
      <c r="FI137" s="27"/>
      <c r="FJ137" s="27"/>
      <c r="FK137" s="27"/>
      <c r="FL137" s="27"/>
      <c r="FM137" s="27"/>
      <c r="FN137" s="27"/>
      <c r="FO137" s="27"/>
      <c r="FP137" s="27"/>
      <c r="FQ137" s="27"/>
      <c r="FR137" s="27"/>
      <c r="FS137" s="27"/>
      <c r="FT137" s="28"/>
      <c r="GC137" s="26"/>
      <c r="GD137" s="27"/>
      <c r="GE137" s="27"/>
      <c r="GF137" s="27"/>
      <c r="GG137" s="27"/>
      <c r="GH137" s="27"/>
      <c r="GI137" s="27"/>
      <c r="GJ137" s="27"/>
      <c r="GK137" s="27"/>
      <c r="GL137" s="27"/>
      <c r="GM137" s="27"/>
      <c r="GN137" s="27"/>
      <c r="GO137" s="27"/>
      <c r="GP137" s="27"/>
      <c r="GQ137" s="27"/>
      <c r="GR137" s="27"/>
      <c r="GS137" s="27"/>
      <c r="GT137" s="27"/>
      <c r="GU137" s="27"/>
      <c r="GV137" s="27"/>
      <c r="GW137" s="27"/>
      <c r="GX137" s="27"/>
      <c r="GY137" s="27"/>
      <c r="GZ137" s="27"/>
      <c r="HA137" s="27"/>
      <c r="HB137" s="27"/>
      <c r="HC137" s="27"/>
      <c r="HD137" s="27"/>
      <c r="HE137" s="27"/>
      <c r="HF137" s="27"/>
      <c r="HG137" s="27"/>
      <c r="HH137" s="27"/>
      <c r="HI137" s="27"/>
      <c r="HJ137" s="27"/>
      <c r="HK137" s="27"/>
      <c r="HL137" s="27"/>
      <c r="HM137" s="27"/>
      <c r="HN137" s="27"/>
      <c r="HO137" s="27"/>
      <c r="HP137" s="27"/>
      <c r="HQ137" s="27"/>
      <c r="HR137" s="27"/>
      <c r="HS137" s="27"/>
      <c r="HT137" s="27"/>
      <c r="HU137" s="27"/>
      <c r="HV137" s="27"/>
      <c r="HW137" s="27"/>
      <c r="HX137" s="27"/>
      <c r="HY137" s="27"/>
      <c r="HZ137" s="27"/>
      <c r="IA137" s="27"/>
      <c r="IB137" s="27"/>
      <c r="IC137" s="27"/>
      <c r="ID137" s="27"/>
      <c r="IE137" s="27"/>
      <c r="IF137" s="27"/>
      <c r="IG137" s="27"/>
      <c r="IH137" s="27"/>
      <c r="II137" s="27"/>
      <c r="IJ137" s="27"/>
      <c r="IK137" s="27"/>
      <c r="IL137" s="27"/>
      <c r="IM137" s="27"/>
      <c r="IN137" s="27"/>
      <c r="IO137" s="27"/>
      <c r="IP137" s="27"/>
      <c r="IQ137" s="27"/>
      <c r="IR137" s="27"/>
      <c r="IS137" s="27"/>
      <c r="IT137" s="27"/>
      <c r="IU137" s="27"/>
      <c r="IV137" s="27"/>
      <c r="IW137" s="27"/>
      <c r="IX137" s="27"/>
      <c r="IY137" s="27"/>
      <c r="IZ137" s="27"/>
      <c r="JA137" s="27"/>
      <c r="JB137" s="27"/>
      <c r="JC137" s="27"/>
      <c r="JD137" s="28"/>
    </row>
    <row r="138" spans="9:264" ht="7.5" customHeight="1" x14ac:dyDescent="0.25">
      <c r="I138" s="26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27"/>
      <c r="CH138" s="27"/>
      <c r="CI138" s="27"/>
      <c r="CJ138" s="28"/>
      <c r="CS138" s="26"/>
      <c r="CT138" s="27"/>
      <c r="CU138" s="27"/>
      <c r="CV138" s="27"/>
      <c r="CW138" s="27"/>
      <c r="CX138" s="27"/>
      <c r="CY138" s="27"/>
      <c r="CZ138" s="27"/>
      <c r="DA138" s="27"/>
      <c r="DB138" s="27"/>
      <c r="DC138" s="27"/>
      <c r="DD138" s="27"/>
      <c r="DE138" s="27"/>
      <c r="DF138" s="27"/>
      <c r="DG138" s="27"/>
      <c r="DH138" s="27"/>
      <c r="DI138" s="27"/>
      <c r="DJ138" s="27"/>
      <c r="DK138" s="27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  <c r="EJ138" s="27"/>
      <c r="EK138" s="27"/>
      <c r="EL138" s="27"/>
      <c r="EM138" s="27"/>
      <c r="EN138" s="27"/>
      <c r="EO138" s="27"/>
      <c r="EP138" s="27"/>
      <c r="EQ138" s="27"/>
      <c r="ER138" s="27"/>
      <c r="ES138" s="27"/>
      <c r="ET138" s="27"/>
      <c r="EU138" s="27"/>
      <c r="EV138" s="27"/>
      <c r="EW138" s="27"/>
      <c r="EX138" s="27"/>
      <c r="EY138" s="27"/>
      <c r="EZ138" s="27"/>
      <c r="FA138" s="27"/>
      <c r="FB138" s="27"/>
      <c r="FC138" s="27"/>
      <c r="FD138" s="27"/>
      <c r="FE138" s="27"/>
      <c r="FF138" s="27"/>
      <c r="FG138" s="27"/>
      <c r="FH138" s="27"/>
      <c r="FI138" s="27"/>
      <c r="FJ138" s="27"/>
      <c r="FK138" s="27"/>
      <c r="FL138" s="27"/>
      <c r="FM138" s="27"/>
      <c r="FN138" s="27"/>
      <c r="FO138" s="27"/>
      <c r="FP138" s="27"/>
      <c r="FQ138" s="27"/>
      <c r="FR138" s="27"/>
      <c r="FS138" s="27"/>
      <c r="FT138" s="28"/>
      <c r="GC138" s="26"/>
      <c r="GD138" s="27"/>
      <c r="GE138" s="27"/>
      <c r="GF138" s="27"/>
      <c r="GG138" s="27"/>
      <c r="GH138" s="27"/>
      <c r="GI138" s="27"/>
      <c r="GJ138" s="27"/>
      <c r="GK138" s="27"/>
      <c r="GL138" s="27"/>
      <c r="GM138" s="27"/>
      <c r="GN138" s="27"/>
      <c r="GO138" s="27"/>
      <c r="GP138" s="27"/>
      <c r="GQ138" s="27"/>
      <c r="GR138" s="27"/>
      <c r="GS138" s="27"/>
      <c r="GT138" s="27"/>
      <c r="GU138" s="27"/>
      <c r="GV138" s="27"/>
      <c r="GW138" s="27"/>
      <c r="GX138" s="27"/>
      <c r="GY138" s="27"/>
      <c r="GZ138" s="27"/>
      <c r="HA138" s="27"/>
      <c r="HB138" s="27"/>
      <c r="HC138" s="27"/>
      <c r="HD138" s="27"/>
      <c r="HE138" s="27"/>
      <c r="HF138" s="27"/>
      <c r="HG138" s="27"/>
      <c r="HH138" s="27"/>
      <c r="HI138" s="27"/>
      <c r="HJ138" s="27"/>
      <c r="HK138" s="27"/>
      <c r="HL138" s="27"/>
      <c r="HM138" s="27"/>
      <c r="HN138" s="27"/>
      <c r="HO138" s="27"/>
      <c r="HP138" s="27"/>
      <c r="HQ138" s="27"/>
      <c r="HR138" s="27"/>
      <c r="HS138" s="27"/>
      <c r="HT138" s="27"/>
      <c r="HU138" s="27"/>
      <c r="HV138" s="27"/>
      <c r="HW138" s="27"/>
      <c r="HX138" s="27"/>
      <c r="HY138" s="27"/>
      <c r="HZ138" s="27"/>
      <c r="IA138" s="27"/>
      <c r="IB138" s="27"/>
      <c r="IC138" s="27"/>
      <c r="ID138" s="27"/>
      <c r="IE138" s="27"/>
      <c r="IF138" s="27"/>
      <c r="IG138" s="27"/>
      <c r="IH138" s="27"/>
      <c r="II138" s="27"/>
      <c r="IJ138" s="27"/>
      <c r="IK138" s="27"/>
      <c r="IL138" s="27"/>
      <c r="IM138" s="27"/>
      <c r="IN138" s="27"/>
      <c r="IO138" s="27"/>
      <c r="IP138" s="27"/>
      <c r="IQ138" s="27"/>
      <c r="IR138" s="27"/>
      <c r="IS138" s="27"/>
      <c r="IT138" s="27"/>
      <c r="IU138" s="27"/>
      <c r="IV138" s="27"/>
      <c r="IW138" s="27"/>
      <c r="IX138" s="27"/>
      <c r="IY138" s="27"/>
      <c r="IZ138" s="27"/>
      <c r="JA138" s="27"/>
      <c r="JB138" s="27"/>
      <c r="JC138" s="27"/>
      <c r="JD138" s="28"/>
    </row>
    <row r="139" spans="9:264" ht="7.5" customHeight="1" x14ac:dyDescent="0.25">
      <c r="I139" s="26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27"/>
      <c r="CH139" s="27"/>
      <c r="CI139" s="27"/>
      <c r="CJ139" s="28"/>
      <c r="CS139" s="26"/>
      <c r="CT139" s="27"/>
      <c r="CU139" s="27"/>
      <c r="CV139" s="27"/>
      <c r="CW139" s="27"/>
      <c r="CX139" s="27"/>
      <c r="CY139" s="27"/>
      <c r="CZ139" s="27"/>
      <c r="DA139" s="27"/>
      <c r="DB139" s="27"/>
      <c r="DC139" s="27"/>
      <c r="DD139" s="27"/>
      <c r="DE139" s="27"/>
      <c r="DF139" s="27"/>
      <c r="DG139" s="27"/>
      <c r="DH139" s="27"/>
      <c r="DI139" s="27"/>
      <c r="DJ139" s="27"/>
      <c r="DK139" s="27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  <c r="EQ139" s="27"/>
      <c r="ER139" s="27"/>
      <c r="ES139" s="27"/>
      <c r="ET139" s="27"/>
      <c r="EU139" s="27"/>
      <c r="EV139" s="27"/>
      <c r="EW139" s="27"/>
      <c r="EX139" s="27"/>
      <c r="EY139" s="27"/>
      <c r="EZ139" s="27"/>
      <c r="FA139" s="27"/>
      <c r="FB139" s="27"/>
      <c r="FC139" s="27"/>
      <c r="FD139" s="27"/>
      <c r="FE139" s="27"/>
      <c r="FF139" s="27"/>
      <c r="FG139" s="27"/>
      <c r="FH139" s="27"/>
      <c r="FI139" s="27"/>
      <c r="FJ139" s="27"/>
      <c r="FK139" s="27"/>
      <c r="FL139" s="27"/>
      <c r="FM139" s="27"/>
      <c r="FN139" s="27"/>
      <c r="FO139" s="27"/>
      <c r="FP139" s="27"/>
      <c r="FQ139" s="27"/>
      <c r="FR139" s="27"/>
      <c r="FS139" s="27"/>
      <c r="FT139" s="28"/>
      <c r="GC139" s="26"/>
      <c r="GD139" s="27"/>
      <c r="GE139" s="27"/>
      <c r="GF139" s="27"/>
      <c r="GG139" s="27"/>
      <c r="GH139" s="27"/>
      <c r="GI139" s="27"/>
      <c r="GJ139" s="27"/>
      <c r="GK139" s="27"/>
      <c r="GL139" s="27"/>
      <c r="GM139" s="27"/>
      <c r="GN139" s="27"/>
      <c r="GO139" s="27"/>
      <c r="GP139" s="27"/>
      <c r="GQ139" s="27"/>
      <c r="GR139" s="27"/>
      <c r="GS139" s="27"/>
      <c r="GT139" s="27"/>
      <c r="GU139" s="27"/>
      <c r="GV139" s="27"/>
      <c r="GW139" s="27"/>
      <c r="GX139" s="27"/>
      <c r="GY139" s="27"/>
      <c r="GZ139" s="27"/>
      <c r="HA139" s="27"/>
      <c r="HB139" s="27"/>
      <c r="HC139" s="27"/>
      <c r="HD139" s="27"/>
      <c r="HE139" s="27"/>
      <c r="HF139" s="27"/>
      <c r="HG139" s="27"/>
      <c r="HH139" s="27"/>
      <c r="HI139" s="27"/>
      <c r="HJ139" s="27"/>
      <c r="HK139" s="27"/>
      <c r="HL139" s="27"/>
      <c r="HM139" s="27"/>
      <c r="HN139" s="27"/>
      <c r="HO139" s="27"/>
      <c r="HP139" s="27"/>
      <c r="HQ139" s="27"/>
      <c r="HR139" s="27"/>
      <c r="HS139" s="27"/>
      <c r="HT139" s="27"/>
      <c r="HU139" s="27"/>
      <c r="HV139" s="27"/>
      <c r="HW139" s="27"/>
      <c r="HX139" s="27"/>
      <c r="HY139" s="27"/>
      <c r="HZ139" s="27"/>
      <c r="IA139" s="27"/>
      <c r="IB139" s="27"/>
      <c r="IC139" s="27"/>
      <c r="ID139" s="27"/>
      <c r="IE139" s="27"/>
      <c r="IF139" s="27"/>
      <c r="IG139" s="27"/>
      <c r="IH139" s="27"/>
      <c r="II139" s="27"/>
      <c r="IJ139" s="27"/>
      <c r="IK139" s="27"/>
      <c r="IL139" s="27"/>
      <c r="IM139" s="27"/>
      <c r="IN139" s="27"/>
      <c r="IO139" s="27"/>
      <c r="IP139" s="27"/>
      <c r="IQ139" s="27"/>
      <c r="IR139" s="27"/>
      <c r="IS139" s="27"/>
      <c r="IT139" s="27"/>
      <c r="IU139" s="27"/>
      <c r="IV139" s="27"/>
      <c r="IW139" s="27"/>
      <c r="IX139" s="27"/>
      <c r="IY139" s="27"/>
      <c r="IZ139" s="27"/>
      <c r="JA139" s="27"/>
      <c r="JB139" s="27"/>
      <c r="JC139" s="27"/>
      <c r="JD139" s="28"/>
    </row>
    <row r="140" spans="9:264" ht="7.5" customHeight="1" x14ac:dyDescent="0.25">
      <c r="I140" s="26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7"/>
      <c r="BD140" s="27"/>
      <c r="BE140" s="27"/>
      <c r="BF140" s="27"/>
      <c r="BG140" s="27"/>
      <c r="BH140" s="27"/>
      <c r="BI140" s="27"/>
      <c r="BJ140" s="27"/>
      <c r="BK140" s="27"/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27"/>
      <c r="CH140" s="27"/>
      <c r="CI140" s="27"/>
      <c r="CJ140" s="28"/>
      <c r="CS140" s="26"/>
      <c r="CT140" s="27"/>
      <c r="CU140" s="27"/>
      <c r="CV140" s="27"/>
      <c r="CW140" s="27"/>
      <c r="CX140" s="27"/>
      <c r="CY140" s="27"/>
      <c r="CZ140" s="27"/>
      <c r="DA140" s="27"/>
      <c r="DB140" s="27"/>
      <c r="DC140" s="27"/>
      <c r="DD140" s="27"/>
      <c r="DE140" s="27"/>
      <c r="DF140" s="27"/>
      <c r="DG140" s="27"/>
      <c r="DH140" s="27"/>
      <c r="DI140" s="27"/>
      <c r="DJ140" s="27"/>
      <c r="DK140" s="27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  <c r="EQ140" s="27"/>
      <c r="ER140" s="27"/>
      <c r="ES140" s="27"/>
      <c r="ET140" s="27"/>
      <c r="EU140" s="27"/>
      <c r="EV140" s="27"/>
      <c r="EW140" s="27"/>
      <c r="EX140" s="27"/>
      <c r="EY140" s="27"/>
      <c r="EZ140" s="27"/>
      <c r="FA140" s="27"/>
      <c r="FB140" s="27"/>
      <c r="FC140" s="27"/>
      <c r="FD140" s="27"/>
      <c r="FE140" s="27"/>
      <c r="FF140" s="27"/>
      <c r="FG140" s="27"/>
      <c r="FH140" s="27"/>
      <c r="FI140" s="27"/>
      <c r="FJ140" s="27"/>
      <c r="FK140" s="27"/>
      <c r="FL140" s="27"/>
      <c r="FM140" s="27"/>
      <c r="FN140" s="27"/>
      <c r="FO140" s="27"/>
      <c r="FP140" s="27"/>
      <c r="FQ140" s="27"/>
      <c r="FR140" s="27"/>
      <c r="FS140" s="27"/>
      <c r="FT140" s="28"/>
      <c r="GC140" s="26"/>
      <c r="GD140" s="27"/>
      <c r="GE140" s="27"/>
      <c r="GF140" s="27"/>
      <c r="GG140" s="27"/>
      <c r="GH140" s="27"/>
      <c r="GI140" s="27"/>
      <c r="GJ140" s="27"/>
      <c r="GK140" s="27"/>
      <c r="GL140" s="27"/>
      <c r="GM140" s="27"/>
      <c r="GN140" s="27"/>
      <c r="GO140" s="27"/>
      <c r="GP140" s="27"/>
      <c r="GQ140" s="27"/>
      <c r="GR140" s="27"/>
      <c r="GS140" s="27"/>
      <c r="GT140" s="27"/>
      <c r="GU140" s="27"/>
      <c r="GV140" s="27"/>
      <c r="GW140" s="27"/>
      <c r="GX140" s="27"/>
      <c r="GY140" s="27"/>
      <c r="GZ140" s="27"/>
      <c r="HA140" s="27"/>
      <c r="HB140" s="27"/>
      <c r="HC140" s="27"/>
      <c r="HD140" s="27"/>
      <c r="HE140" s="27"/>
      <c r="HF140" s="27"/>
      <c r="HG140" s="27"/>
      <c r="HH140" s="27"/>
      <c r="HI140" s="27"/>
      <c r="HJ140" s="27"/>
      <c r="HK140" s="27"/>
      <c r="HL140" s="27"/>
      <c r="HM140" s="27"/>
      <c r="HN140" s="27"/>
      <c r="HO140" s="27"/>
      <c r="HP140" s="27"/>
      <c r="HQ140" s="27"/>
      <c r="HR140" s="27"/>
      <c r="HS140" s="27"/>
      <c r="HT140" s="27"/>
      <c r="HU140" s="27"/>
      <c r="HV140" s="27"/>
      <c r="HW140" s="27"/>
      <c r="HX140" s="27"/>
      <c r="HY140" s="27"/>
      <c r="HZ140" s="27"/>
      <c r="IA140" s="27"/>
      <c r="IB140" s="27"/>
      <c r="IC140" s="27"/>
      <c r="ID140" s="27"/>
      <c r="IE140" s="27"/>
      <c r="IF140" s="27"/>
      <c r="IG140" s="27"/>
      <c r="IH140" s="27"/>
      <c r="II140" s="27"/>
      <c r="IJ140" s="27"/>
      <c r="IK140" s="27"/>
      <c r="IL140" s="27"/>
      <c r="IM140" s="27"/>
      <c r="IN140" s="27"/>
      <c r="IO140" s="27"/>
      <c r="IP140" s="27"/>
      <c r="IQ140" s="27"/>
      <c r="IR140" s="27"/>
      <c r="IS140" s="27"/>
      <c r="IT140" s="27"/>
      <c r="IU140" s="27"/>
      <c r="IV140" s="27"/>
      <c r="IW140" s="27"/>
      <c r="IX140" s="27"/>
      <c r="IY140" s="27"/>
      <c r="IZ140" s="27"/>
      <c r="JA140" s="27"/>
      <c r="JB140" s="27"/>
      <c r="JC140" s="27"/>
      <c r="JD140" s="28"/>
    </row>
    <row r="141" spans="9:264" ht="7.5" customHeight="1" x14ac:dyDescent="0.25">
      <c r="I141" s="26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27"/>
      <c r="CH141" s="27"/>
      <c r="CI141" s="27"/>
      <c r="CJ141" s="28"/>
      <c r="CS141" s="26"/>
      <c r="CT141" s="27"/>
      <c r="CU141" s="27"/>
      <c r="CV141" s="27"/>
      <c r="CW141" s="27"/>
      <c r="CX141" s="27"/>
      <c r="CY141" s="27"/>
      <c r="CZ141" s="27"/>
      <c r="DA141" s="27"/>
      <c r="DB141" s="27"/>
      <c r="DC141" s="27"/>
      <c r="DD141" s="27"/>
      <c r="DE141" s="27"/>
      <c r="DF141" s="27"/>
      <c r="DG141" s="27"/>
      <c r="DH141" s="27"/>
      <c r="DI141" s="27"/>
      <c r="DJ141" s="27"/>
      <c r="DK141" s="27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  <c r="EQ141" s="27"/>
      <c r="ER141" s="27"/>
      <c r="ES141" s="27"/>
      <c r="ET141" s="27"/>
      <c r="EU141" s="27"/>
      <c r="EV141" s="27"/>
      <c r="EW141" s="27"/>
      <c r="EX141" s="27"/>
      <c r="EY141" s="27"/>
      <c r="EZ141" s="27"/>
      <c r="FA141" s="27"/>
      <c r="FB141" s="27"/>
      <c r="FC141" s="27"/>
      <c r="FD141" s="27"/>
      <c r="FE141" s="27"/>
      <c r="FF141" s="27"/>
      <c r="FG141" s="27"/>
      <c r="FH141" s="27"/>
      <c r="FI141" s="27"/>
      <c r="FJ141" s="27"/>
      <c r="FK141" s="27"/>
      <c r="FL141" s="27"/>
      <c r="FM141" s="27"/>
      <c r="FN141" s="27"/>
      <c r="FO141" s="27"/>
      <c r="FP141" s="27"/>
      <c r="FQ141" s="27"/>
      <c r="FR141" s="27"/>
      <c r="FS141" s="27"/>
      <c r="FT141" s="28"/>
      <c r="GC141" s="26"/>
      <c r="GD141" s="27"/>
      <c r="GE141" s="27"/>
      <c r="GF141" s="27"/>
      <c r="GG141" s="27"/>
      <c r="GH141" s="27"/>
      <c r="GI141" s="27"/>
      <c r="GJ141" s="27"/>
      <c r="GK141" s="27"/>
      <c r="GL141" s="27"/>
      <c r="GM141" s="27"/>
      <c r="GN141" s="27"/>
      <c r="GO141" s="27"/>
      <c r="GP141" s="27"/>
      <c r="GQ141" s="27"/>
      <c r="GR141" s="27"/>
      <c r="GS141" s="27"/>
      <c r="GT141" s="27"/>
      <c r="GU141" s="27"/>
      <c r="GV141" s="27"/>
      <c r="GW141" s="27"/>
      <c r="GX141" s="27"/>
      <c r="GY141" s="27"/>
      <c r="GZ141" s="27"/>
      <c r="HA141" s="27"/>
      <c r="HB141" s="27"/>
      <c r="HC141" s="27"/>
      <c r="HD141" s="27"/>
      <c r="HE141" s="27"/>
      <c r="HF141" s="27"/>
      <c r="HG141" s="27"/>
      <c r="HH141" s="27"/>
      <c r="HI141" s="27"/>
      <c r="HJ141" s="27"/>
      <c r="HK141" s="27"/>
      <c r="HL141" s="27"/>
      <c r="HM141" s="27"/>
      <c r="HN141" s="27"/>
      <c r="HO141" s="27"/>
      <c r="HP141" s="27"/>
      <c r="HQ141" s="27"/>
      <c r="HR141" s="27"/>
      <c r="HS141" s="27"/>
      <c r="HT141" s="27"/>
      <c r="HU141" s="27"/>
      <c r="HV141" s="27"/>
      <c r="HW141" s="27"/>
      <c r="HX141" s="27"/>
      <c r="HY141" s="27"/>
      <c r="HZ141" s="27"/>
      <c r="IA141" s="27"/>
      <c r="IB141" s="27"/>
      <c r="IC141" s="27"/>
      <c r="ID141" s="27"/>
      <c r="IE141" s="27"/>
      <c r="IF141" s="27"/>
      <c r="IG141" s="27"/>
      <c r="IH141" s="27"/>
      <c r="II141" s="27"/>
      <c r="IJ141" s="27"/>
      <c r="IK141" s="27"/>
      <c r="IL141" s="27"/>
      <c r="IM141" s="27"/>
      <c r="IN141" s="27"/>
      <c r="IO141" s="27"/>
      <c r="IP141" s="27"/>
      <c r="IQ141" s="27"/>
      <c r="IR141" s="27"/>
      <c r="IS141" s="27"/>
      <c r="IT141" s="27"/>
      <c r="IU141" s="27"/>
      <c r="IV141" s="27"/>
      <c r="IW141" s="27"/>
      <c r="IX141" s="27"/>
      <c r="IY141" s="27"/>
      <c r="IZ141" s="27"/>
      <c r="JA141" s="27"/>
      <c r="JB141" s="27"/>
      <c r="JC141" s="27"/>
      <c r="JD141" s="28"/>
    </row>
    <row r="142" spans="9:264" ht="7.5" customHeight="1" x14ac:dyDescent="0.25">
      <c r="I142" s="26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27"/>
      <c r="CH142" s="27"/>
      <c r="CI142" s="27"/>
      <c r="CJ142" s="28"/>
      <c r="CS142" s="26"/>
      <c r="CT142" s="27"/>
      <c r="CU142" s="27"/>
      <c r="CV142" s="27"/>
      <c r="CW142" s="27"/>
      <c r="CX142" s="27"/>
      <c r="CY142" s="27"/>
      <c r="CZ142" s="27"/>
      <c r="DA142" s="27"/>
      <c r="DB142" s="27"/>
      <c r="DC142" s="27"/>
      <c r="DD142" s="27"/>
      <c r="DE142" s="27"/>
      <c r="DF142" s="27"/>
      <c r="DG142" s="27"/>
      <c r="DH142" s="27"/>
      <c r="DI142" s="27"/>
      <c r="DJ142" s="27"/>
      <c r="DK142" s="27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  <c r="EJ142" s="27"/>
      <c r="EK142" s="27"/>
      <c r="EL142" s="27"/>
      <c r="EM142" s="27"/>
      <c r="EN142" s="27"/>
      <c r="EO142" s="27"/>
      <c r="EP142" s="27"/>
      <c r="EQ142" s="27"/>
      <c r="ER142" s="27"/>
      <c r="ES142" s="27"/>
      <c r="ET142" s="27"/>
      <c r="EU142" s="27"/>
      <c r="EV142" s="27"/>
      <c r="EW142" s="27"/>
      <c r="EX142" s="27"/>
      <c r="EY142" s="27"/>
      <c r="EZ142" s="27"/>
      <c r="FA142" s="27"/>
      <c r="FB142" s="27"/>
      <c r="FC142" s="27"/>
      <c r="FD142" s="27"/>
      <c r="FE142" s="27"/>
      <c r="FF142" s="27"/>
      <c r="FG142" s="27"/>
      <c r="FH142" s="27"/>
      <c r="FI142" s="27"/>
      <c r="FJ142" s="27"/>
      <c r="FK142" s="27"/>
      <c r="FL142" s="27"/>
      <c r="FM142" s="27"/>
      <c r="FN142" s="27"/>
      <c r="FO142" s="27"/>
      <c r="FP142" s="27"/>
      <c r="FQ142" s="27"/>
      <c r="FR142" s="27"/>
      <c r="FS142" s="27"/>
      <c r="FT142" s="28"/>
      <c r="GC142" s="26"/>
      <c r="GD142" s="27"/>
      <c r="GE142" s="27"/>
      <c r="GF142" s="27"/>
      <c r="GG142" s="27"/>
      <c r="GH142" s="27"/>
      <c r="GI142" s="27"/>
      <c r="GJ142" s="27"/>
      <c r="GK142" s="27"/>
      <c r="GL142" s="27"/>
      <c r="GM142" s="27"/>
      <c r="GN142" s="27"/>
      <c r="GO142" s="27"/>
      <c r="GP142" s="27"/>
      <c r="GQ142" s="27"/>
      <c r="GR142" s="27"/>
      <c r="GS142" s="27"/>
      <c r="GT142" s="27"/>
      <c r="GU142" s="27"/>
      <c r="GV142" s="27"/>
      <c r="GW142" s="27"/>
      <c r="GX142" s="27"/>
      <c r="GY142" s="27"/>
      <c r="GZ142" s="27"/>
      <c r="HA142" s="27"/>
      <c r="HB142" s="27"/>
      <c r="HC142" s="27"/>
      <c r="HD142" s="27"/>
      <c r="HE142" s="27"/>
      <c r="HF142" s="27"/>
      <c r="HG142" s="27"/>
      <c r="HH142" s="27"/>
      <c r="HI142" s="27"/>
      <c r="HJ142" s="27"/>
      <c r="HK142" s="27"/>
      <c r="HL142" s="27"/>
      <c r="HM142" s="27"/>
      <c r="HN142" s="27"/>
      <c r="HO142" s="27"/>
      <c r="HP142" s="27"/>
      <c r="HQ142" s="27"/>
      <c r="HR142" s="27"/>
      <c r="HS142" s="27"/>
      <c r="HT142" s="27"/>
      <c r="HU142" s="27"/>
      <c r="HV142" s="27"/>
      <c r="HW142" s="27"/>
      <c r="HX142" s="27"/>
      <c r="HY142" s="27"/>
      <c r="HZ142" s="27"/>
      <c r="IA142" s="27"/>
      <c r="IB142" s="27"/>
      <c r="IC142" s="27"/>
      <c r="ID142" s="27"/>
      <c r="IE142" s="27"/>
      <c r="IF142" s="27"/>
      <c r="IG142" s="27"/>
      <c r="IH142" s="27"/>
      <c r="II142" s="27"/>
      <c r="IJ142" s="27"/>
      <c r="IK142" s="27"/>
      <c r="IL142" s="27"/>
      <c r="IM142" s="27"/>
      <c r="IN142" s="27"/>
      <c r="IO142" s="27"/>
      <c r="IP142" s="27"/>
      <c r="IQ142" s="27"/>
      <c r="IR142" s="27"/>
      <c r="IS142" s="27"/>
      <c r="IT142" s="27"/>
      <c r="IU142" s="27"/>
      <c r="IV142" s="27"/>
      <c r="IW142" s="27"/>
      <c r="IX142" s="27"/>
      <c r="IY142" s="27"/>
      <c r="IZ142" s="27"/>
      <c r="JA142" s="27"/>
      <c r="JB142" s="27"/>
      <c r="JC142" s="27"/>
      <c r="JD142" s="28"/>
    </row>
    <row r="143" spans="9:264" ht="7.5" customHeight="1" x14ac:dyDescent="0.25">
      <c r="I143" s="26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27"/>
      <c r="CH143" s="27"/>
      <c r="CI143" s="27"/>
      <c r="CJ143" s="28"/>
      <c r="CK143" s="2"/>
      <c r="CL143" s="2"/>
      <c r="CM143" s="2"/>
      <c r="CN143" s="2"/>
      <c r="CO143" s="2"/>
      <c r="CP143" s="2"/>
      <c r="CQ143" s="2"/>
      <c r="CR143" s="2"/>
      <c r="CS143" s="26"/>
      <c r="CT143" s="27"/>
      <c r="CU143" s="27"/>
      <c r="CV143" s="27"/>
      <c r="CW143" s="27"/>
      <c r="CX143" s="27"/>
      <c r="CY143" s="27"/>
      <c r="CZ143" s="27"/>
      <c r="DA143" s="27"/>
      <c r="DB143" s="27"/>
      <c r="DC143" s="27"/>
      <c r="DD143" s="27"/>
      <c r="DE143" s="27"/>
      <c r="DF143" s="27"/>
      <c r="DG143" s="27"/>
      <c r="DH143" s="27"/>
      <c r="DI143" s="27"/>
      <c r="DJ143" s="27"/>
      <c r="DK143" s="27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  <c r="EJ143" s="27"/>
      <c r="EK143" s="27"/>
      <c r="EL143" s="27"/>
      <c r="EM143" s="27"/>
      <c r="EN143" s="27"/>
      <c r="EO143" s="27"/>
      <c r="EP143" s="27"/>
      <c r="EQ143" s="27"/>
      <c r="ER143" s="27"/>
      <c r="ES143" s="27"/>
      <c r="ET143" s="27"/>
      <c r="EU143" s="27"/>
      <c r="EV143" s="27"/>
      <c r="EW143" s="27"/>
      <c r="EX143" s="27"/>
      <c r="EY143" s="27"/>
      <c r="EZ143" s="27"/>
      <c r="FA143" s="27"/>
      <c r="FB143" s="27"/>
      <c r="FC143" s="27"/>
      <c r="FD143" s="27"/>
      <c r="FE143" s="27"/>
      <c r="FF143" s="27"/>
      <c r="FG143" s="27"/>
      <c r="FH143" s="27"/>
      <c r="FI143" s="27"/>
      <c r="FJ143" s="27"/>
      <c r="FK143" s="27"/>
      <c r="FL143" s="27"/>
      <c r="FM143" s="27"/>
      <c r="FN143" s="27"/>
      <c r="FO143" s="27"/>
      <c r="FP143" s="27"/>
      <c r="FQ143" s="27"/>
      <c r="FR143" s="27"/>
      <c r="FS143" s="27"/>
      <c r="FT143" s="28"/>
      <c r="FU143" s="2"/>
      <c r="FV143" s="2"/>
      <c r="FW143" s="2"/>
      <c r="FX143" s="2"/>
      <c r="FY143" s="2"/>
      <c r="FZ143" s="2"/>
      <c r="GA143" s="2"/>
      <c r="GB143" s="2"/>
      <c r="GC143" s="26"/>
      <c r="GD143" s="27"/>
      <c r="GE143" s="27"/>
      <c r="GF143" s="27"/>
      <c r="GG143" s="27"/>
      <c r="GH143" s="27"/>
      <c r="GI143" s="27"/>
      <c r="GJ143" s="27"/>
      <c r="GK143" s="27"/>
      <c r="GL143" s="27"/>
      <c r="GM143" s="27"/>
      <c r="GN143" s="27"/>
      <c r="GO143" s="27"/>
      <c r="GP143" s="27"/>
      <c r="GQ143" s="27"/>
      <c r="GR143" s="27"/>
      <c r="GS143" s="27"/>
      <c r="GT143" s="27"/>
      <c r="GU143" s="27"/>
      <c r="GV143" s="27"/>
      <c r="GW143" s="27"/>
      <c r="GX143" s="27"/>
      <c r="GY143" s="27"/>
      <c r="GZ143" s="27"/>
      <c r="HA143" s="27"/>
      <c r="HB143" s="27"/>
      <c r="HC143" s="27"/>
      <c r="HD143" s="27"/>
      <c r="HE143" s="27"/>
      <c r="HF143" s="27"/>
      <c r="HG143" s="27"/>
      <c r="HH143" s="27"/>
      <c r="HI143" s="27"/>
      <c r="HJ143" s="27"/>
      <c r="HK143" s="27"/>
      <c r="HL143" s="27"/>
      <c r="HM143" s="27"/>
      <c r="HN143" s="27"/>
      <c r="HO143" s="27"/>
      <c r="HP143" s="27"/>
      <c r="HQ143" s="27"/>
      <c r="HR143" s="27"/>
      <c r="HS143" s="27"/>
      <c r="HT143" s="27"/>
      <c r="HU143" s="27"/>
      <c r="HV143" s="27"/>
      <c r="HW143" s="27"/>
      <c r="HX143" s="27"/>
      <c r="HY143" s="27"/>
      <c r="HZ143" s="27"/>
      <c r="IA143" s="27"/>
      <c r="IB143" s="27"/>
      <c r="IC143" s="27"/>
      <c r="ID143" s="27"/>
      <c r="IE143" s="27"/>
      <c r="IF143" s="27"/>
      <c r="IG143" s="27"/>
      <c r="IH143" s="27"/>
      <c r="II143" s="27"/>
      <c r="IJ143" s="27"/>
      <c r="IK143" s="27"/>
      <c r="IL143" s="27"/>
      <c r="IM143" s="27"/>
      <c r="IN143" s="27"/>
      <c r="IO143" s="27"/>
      <c r="IP143" s="27"/>
      <c r="IQ143" s="27"/>
      <c r="IR143" s="27"/>
      <c r="IS143" s="27"/>
      <c r="IT143" s="27"/>
      <c r="IU143" s="27"/>
      <c r="IV143" s="27"/>
      <c r="IW143" s="27"/>
      <c r="IX143" s="27"/>
      <c r="IY143" s="27"/>
      <c r="IZ143" s="27"/>
      <c r="JA143" s="27"/>
      <c r="JB143" s="27"/>
      <c r="JC143" s="27"/>
      <c r="JD143" s="28"/>
    </row>
    <row r="144" spans="9:264" ht="7.5" customHeight="1" x14ac:dyDescent="0.25">
      <c r="I144" s="26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27"/>
      <c r="CH144" s="27"/>
      <c r="CI144" s="27"/>
      <c r="CJ144" s="28"/>
      <c r="CK144" s="2"/>
      <c r="CL144" s="2"/>
      <c r="CM144" s="2"/>
      <c r="CN144" s="2"/>
      <c r="CO144" s="2"/>
      <c r="CP144" s="2"/>
      <c r="CQ144" s="2"/>
      <c r="CR144" s="2"/>
      <c r="CS144" s="26"/>
      <c r="CT144" s="27"/>
      <c r="CU144" s="27"/>
      <c r="CV144" s="27"/>
      <c r="CW144" s="27"/>
      <c r="CX144" s="27"/>
      <c r="CY144" s="27"/>
      <c r="CZ144" s="27"/>
      <c r="DA144" s="27"/>
      <c r="DB144" s="27"/>
      <c r="DC144" s="27"/>
      <c r="DD144" s="27"/>
      <c r="DE144" s="27"/>
      <c r="DF144" s="27"/>
      <c r="DG144" s="27"/>
      <c r="DH144" s="27"/>
      <c r="DI144" s="27"/>
      <c r="DJ144" s="27"/>
      <c r="DK144" s="27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  <c r="EJ144" s="27"/>
      <c r="EK144" s="27"/>
      <c r="EL144" s="27"/>
      <c r="EM144" s="27"/>
      <c r="EN144" s="27"/>
      <c r="EO144" s="27"/>
      <c r="EP144" s="27"/>
      <c r="EQ144" s="27"/>
      <c r="ER144" s="27"/>
      <c r="ES144" s="27"/>
      <c r="ET144" s="27"/>
      <c r="EU144" s="27"/>
      <c r="EV144" s="27"/>
      <c r="EW144" s="27"/>
      <c r="EX144" s="27"/>
      <c r="EY144" s="27"/>
      <c r="EZ144" s="27"/>
      <c r="FA144" s="27"/>
      <c r="FB144" s="27"/>
      <c r="FC144" s="27"/>
      <c r="FD144" s="27"/>
      <c r="FE144" s="27"/>
      <c r="FF144" s="27"/>
      <c r="FG144" s="27"/>
      <c r="FH144" s="27"/>
      <c r="FI144" s="27"/>
      <c r="FJ144" s="27"/>
      <c r="FK144" s="27"/>
      <c r="FL144" s="27"/>
      <c r="FM144" s="27"/>
      <c r="FN144" s="27"/>
      <c r="FO144" s="27"/>
      <c r="FP144" s="27"/>
      <c r="FQ144" s="27"/>
      <c r="FR144" s="27"/>
      <c r="FS144" s="27"/>
      <c r="FT144" s="28"/>
      <c r="FU144" s="2"/>
      <c r="FV144" s="2"/>
      <c r="FW144" s="2"/>
      <c r="FX144" s="2"/>
      <c r="FY144" s="2"/>
      <c r="FZ144" s="2"/>
      <c r="GA144" s="2"/>
      <c r="GB144" s="2"/>
      <c r="GC144" s="26"/>
      <c r="GD144" s="27"/>
      <c r="GE144" s="27"/>
      <c r="GF144" s="27"/>
      <c r="GG144" s="27"/>
      <c r="GH144" s="27"/>
      <c r="GI144" s="27"/>
      <c r="GJ144" s="27"/>
      <c r="GK144" s="27"/>
      <c r="GL144" s="27"/>
      <c r="GM144" s="27"/>
      <c r="GN144" s="27"/>
      <c r="GO144" s="27"/>
      <c r="GP144" s="27"/>
      <c r="GQ144" s="27"/>
      <c r="GR144" s="27"/>
      <c r="GS144" s="27"/>
      <c r="GT144" s="27"/>
      <c r="GU144" s="27"/>
      <c r="GV144" s="27"/>
      <c r="GW144" s="27"/>
      <c r="GX144" s="27"/>
      <c r="GY144" s="27"/>
      <c r="GZ144" s="27"/>
      <c r="HA144" s="27"/>
      <c r="HB144" s="27"/>
      <c r="HC144" s="27"/>
      <c r="HD144" s="27"/>
      <c r="HE144" s="27"/>
      <c r="HF144" s="27"/>
      <c r="HG144" s="27"/>
      <c r="HH144" s="27"/>
      <c r="HI144" s="27"/>
      <c r="HJ144" s="27"/>
      <c r="HK144" s="27"/>
      <c r="HL144" s="27"/>
      <c r="HM144" s="27"/>
      <c r="HN144" s="27"/>
      <c r="HO144" s="27"/>
      <c r="HP144" s="27"/>
      <c r="HQ144" s="27"/>
      <c r="HR144" s="27"/>
      <c r="HS144" s="27"/>
      <c r="HT144" s="27"/>
      <c r="HU144" s="27"/>
      <c r="HV144" s="27"/>
      <c r="HW144" s="27"/>
      <c r="HX144" s="27"/>
      <c r="HY144" s="27"/>
      <c r="HZ144" s="27"/>
      <c r="IA144" s="27"/>
      <c r="IB144" s="27"/>
      <c r="IC144" s="27"/>
      <c r="ID144" s="27"/>
      <c r="IE144" s="27"/>
      <c r="IF144" s="27"/>
      <c r="IG144" s="27"/>
      <c r="IH144" s="27"/>
      <c r="II144" s="27"/>
      <c r="IJ144" s="27"/>
      <c r="IK144" s="27"/>
      <c r="IL144" s="27"/>
      <c r="IM144" s="27"/>
      <c r="IN144" s="27"/>
      <c r="IO144" s="27"/>
      <c r="IP144" s="27"/>
      <c r="IQ144" s="27"/>
      <c r="IR144" s="27"/>
      <c r="IS144" s="27"/>
      <c r="IT144" s="27"/>
      <c r="IU144" s="27"/>
      <c r="IV144" s="27"/>
      <c r="IW144" s="27"/>
      <c r="IX144" s="27"/>
      <c r="IY144" s="27"/>
      <c r="IZ144" s="27"/>
      <c r="JA144" s="27"/>
      <c r="JB144" s="27"/>
      <c r="JC144" s="27"/>
      <c r="JD144" s="28"/>
    </row>
    <row r="145" spans="9:264" ht="7.5" customHeight="1" x14ac:dyDescent="0.25">
      <c r="I145" s="26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27"/>
      <c r="CH145" s="27"/>
      <c r="CI145" s="27"/>
      <c r="CJ145" s="28"/>
      <c r="CK145" s="2"/>
      <c r="CL145" s="2"/>
      <c r="CM145" s="2"/>
      <c r="CN145" s="2"/>
      <c r="CO145" s="2"/>
      <c r="CP145" s="2"/>
      <c r="CQ145" s="2"/>
      <c r="CR145" s="2"/>
      <c r="CS145" s="26"/>
      <c r="CT145" s="27"/>
      <c r="CU145" s="27"/>
      <c r="CV145" s="27"/>
      <c r="CW145" s="27"/>
      <c r="CX145" s="27"/>
      <c r="CY145" s="27"/>
      <c r="CZ145" s="27"/>
      <c r="DA145" s="27"/>
      <c r="DB145" s="27"/>
      <c r="DC145" s="27"/>
      <c r="DD145" s="27"/>
      <c r="DE145" s="27"/>
      <c r="DF145" s="27"/>
      <c r="DG145" s="27"/>
      <c r="DH145" s="27"/>
      <c r="DI145" s="27"/>
      <c r="DJ145" s="27"/>
      <c r="DK145" s="27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  <c r="EJ145" s="27"/>
      <c r="EK145" s="27"/>
      <c r="EL145" s="27"/>
      <c r="EM145" s="27"/>
      <c r="EN145" s="27"/>
      <c r="EO145" s="27"/>
      <c r="EP145" s="27"/>
      <c r="EQ145" s="27"/>
      <c r="ER145" s="27"/>
      <c r="ES145" s="27"/>
      <c r="ET145" s="27"/>
      <c r="EU145" s="27"/>
      <c r="EV145" s="27"/>
      <c r="EW145" s="27"/>
      <c r="EX145" s="27"/>
      <c r="EY145" s="27"/>
      <c r="EZ145" s="27"/>
      <c r="FA145" s="27"/>
      <c r="FB145" s="27"/>
      <c r="FC145" s="27"/>
      <c r="FD145" s="27"/>
      <c r="FE145" s="27"/>
      <c r="FF145" s="27"/>
      <c r="FG145" s="27"/>
      <c r="FH145" s="27"/>
      <c r="FI145" s="27"/>
      <c r="FJ145" s="27"/>
      <c r="FK145" s="27"/>
      <c r="FL145" s="27"/>
      <c r="FM145" s="27"/>
      <c r="FN145" s="27"/>
      <c r="FO145" s="27"/>
      <c r="FP145" s="27"/>
      <c r="FQ145" s="27"/>
      <c r="FR145" s="27"/>
      <c r="FS145" s="27"/>
      <c r="FT145" s="28"/>
      <c r="FU145" s="2"/>
      <c r="FV145" s="2"/>
      <c r="FW145" s="2"/>
      <c r="FX145" s="2"/>
      <c r="FY145" s="2"/>
      <c r="FZ145" s="2"/>
      <c r="GA145" s="2"/>
      <c r="GB145" s="2"/>
      <c r="GC145" s="26"/>
      <c r="GD145" s="27"/>
      <c r="GE145" s="27"/>
      <c r="GF145" s="27"/>
      <c r="GG145" s="27"/>
      <c r="GH145" s="27"/>
      <c r="GI145" s="27"/>
      <c r="GJ145" s="27"/>
      <c r="GK145" s="27"/>
      <c r="GL145" s="27"/>
      <c r="GM145" s="27"/>
      <c r="GN145" s="27"/>
      <c r="GO145" s="27"/>
      <c r="GP145" s="27"/>
      <c r="GQ145" s="27"/>
      <c r="GR145" s="27"/>
      <c r="GS145" s="27"/>
      <c r="GT145" s="27"/>
      <c r="GU145" s="27"/>
      <c r="GV145" s="27"/>
      <c r="GW145" s="27"/>
      <c r="GX145" s="27"/>
      <c r="GY145" s="27"/>
      <c r="GZ145" s="27"/>
      <c r="HA145" s="27"/>
      <c r="HB145" s="27"/>
      <c r="HC145" s="27"/>
      <c r="HD145" s="27"/>
      <c r="HE145" s="27"/>
      <c r="HF145" s="27"/>
      <c r="HG145" s="27"/>
      <c r="HH145" s="27"/>
      <c r="HI145" s="27"/>
      <c r="HJ145" s="27"/>
      <c r="HK145" s="27"/>
      <c r="HL145" s="27"/>
      <c r="HM145" s="27"/>
      <c r="HN145" s="27"/>
      <c r="HO145" s="27"/>
      <c r="HP145" s="27"/>
      <c r="HQ145" s="27"/>
      <c r="HR145" s="27"/>
      <c r="HS145" s="27"/>
      <c r="HT145" s="27"/>
      <c r="HU145" s="27"/>
      <c r="HV145" s="27"/>
      <c r="HW145" s="27"/>
      <c r="HX145" s="27"/>
      <c r="HY145" s="27"/>
      <c r="HZ145" s="27"/>
      <c r="IA145" s="27"/>
      <c r="IB145" s="27"/>
      <c r="IC145" s="27"/>
      <c r="ID145" s="27"/>
      <c r="IE145" s="27"/>
      <c r="IF145" s="27"/>
      <c r="IG145" s="27"/>
      <c r="IH145" s="27"/>
      <c r="II145" s="27"/>
      <c r="IJ145" s="27"/>
      <c r="IK145" s="27"/>
      <c r="IL145" s="27"/>
      <c r="IM145" s="27"/>
      <c r="IN145" s="27"/>
      <c r="IO145" s="27"/>
      <c r="IP145" s="27"/>
      <c r="IQ145" s="27"/>
      <c r="IR145" s="27"/>
      <c r="IS145" s="27"/>
      <c r="IT145" s="27"/>
      <c r="IU145" s="27"/>
      <c r="IV145" s="27"/>
      <c r="IW145" s="27"/>
      <c r="IX145" s="27"/>
      <c r="IY145" s="27"/>
      <c r="IZ145" s="27"/>
      <c r="JA145" s="27"/>
      <c r="JB145" s="27"/>
      <c r="JC145" s="27"/>
      <c r="JD145" s="28"/>
    </row>
    <row r="146" spans="9:264" ht="7.5" customHeight="1" x14ac:dyDescent="0.25">
      <c r="I146" s="26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27"/>
      <c r="CH146" s="27"/>
      <c r="CI146" s="27"/>
      <c r="CJ146" s="28"/>
      <c r="CK146" s="2"/>
      <c r="CL146" s="2"/>
      <c r="CM146" s="2"/>
      <c r="CN146" s="2"/>
      <c r="CO146" s="2"/>
      <c r="CP146" s="2"/>
      <c r="CQ146" s="2"/>
      <c r="CR146" s="2"/>
      <c r="CS146" s="26"/>
      <c r="CT146" s="27"/>
      <c r="CU146" s="27"/>
      <c r="CV146" s="27"/>
      <c r="CW146" s="27"/>
      <c r="CX146" s="27"/>
      <c r="CY146" s="27"/>
      <c r="CZ146" s="27"/>
      <c r="DA146" s="27"/>
      <c r="DB146" s="27"/>
      <c r="DC146" s="27"/>
      <c r="DD146" s="27"/>
      <c r="DE146" s="27"/>
      <c r="DF146" s="27"/>
      <c r="DG146" s="27"/>
      <c r="DH146" s="27"/>
      <c r="DI146" s="27"/>
      <c r="DJ146" s="27"/>
      <c r="DK146" s="27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  <c r="EJ146" s="27"/>
      <c r="EK146" s="27"/>
      <c r="EL146" s="27"/>
      <c r="EM146" s="27"/>
      <c r="EN146" s="27"/>
      <c r="EO146" s="27"/>
      <c r="EP146" s="27"/>
      <c r="EQ146" s="27"/>
      <c r="ER146" s="27"/>
      <c r="ES146" s="27"/>
      <c r="ET146" s="27"/>
      <c r="EU146" s="27"/>
      <c r="EV146" s="27"/>
      <c r="EW146" s="27"/>
      <c r="EX146" s="27"/>
      <c r="EY146" s="27"/>
      <c r="EZ146" s="27"/>
      <c r="FA146" s="27"/>
      <c r="FB146" s="27"/>
      <c r="FC146" s="27"/>
      <c r="FD146" s="27"/>
      <c r="FE146" s="27"/>
      <c r="FF146" s="27"/>
      <c r="FG146" s="27"/>
      <c r="FH146" s="27"/>
      <c r="FI146" s="27"/>
      <c r="FJ146" s="27"/>
      <c r="FK146" s="27"/>
      <c r="FL146" s="27"/>
      <c r="FM146" s="27"/>
      <c r="FN146" s="27"/>
      <c r="FO146" s="27"/>
      <c r="FP146" s="27"/>
      <c r="FQ146" s="27"/>
      <c r="FR146" s="27"/>
      <c r="FS146" s="27"/>
      <c r="FT146" s="28"/>
      <c r="FU146" s="2"/>
      <c r="FV146" s="2"/>
      <c r="FW146" s="2"/>
      <c r="FX146" s="2"/>
      <c r="FY146" s="2"/>
      <c r="FZ146" s="2"/>
      <c r="GA146" s="2"/>
      <c r="GB146" s="2"/>
      <c r="GC146" s="26"/>
      <c r="GD146" s="27"/>
      <c r="GE146" s="27"/>
      <c r="GF146" s="27"/>
      <c r="GG146" s="27"/>
      <c r="GH146" s="27"/>
      <c r="GI146" s="27"/>
      <c r="GJ146" s="27"/>
      <c r="GK146" s="27"/>
      <c r="GL146" s="27"/>
      <c r="GM146" s="27"/>
      <c r="GN146" s="27"/>
      <c r="GO146" s="27"/>
      <c r="GP146" s="27"/>
      <c r="GQ146" s="27"/>
      <c r="GR146" s="27"/>
      <c r="GS146" s="27"/>
      <c r="GT146" s="27"/>
      <c r="GU146" s="27"/>
      <c r="GV146" s="27"/>
      <c r="GW146" s="27"/>
      <c r="GX146" s="27"/>
      <c r="GY146" s="27"/>
      <c r="GZ146" s="27"/>
      <c r="HA146" s="27"/>
      <c r="HB146" s="27"/>
      <c r="HC146" s="27"/>
      <c r="HD146" s="27"/>
      <c r="HE146" s="27"/>
      <c r="HF146" s="27"/>
      <c r="HG146" s="27"/>
      <c r="HH146" s="27"/>
      <c r="HI146" s="27"/>
      <c r="HJ146" s="27"/>
      <c r="HK146" s="27"/>
      <c r="HL146" s="27"/>
      <c r="HM146" s="27"/>
      <c r="HN146" s="27"/>
      <c r="HO146" s="27"/>
      <c r="HP146" s="27"/>
      <c r="HQ146" s="27"/>
      <c r="HR146" s="27"/>
      <c r="HS146" s="27"/>
      <c r="HT146" s="27"/>
      <c r="HU146" s="27"/>
      <c r="HV146" s="27"/>
      <c r="HW146" s="27"/>
      <c r="HX146" s="27"/>
      <c r="HY146" s="27"/>
      <c r="HZ146" s="27"/>
      <c r="IA146" s="27"/>
      <c r="IB146" s="27"/>
      <c r="IC146" s="27"/>
      <c r="ID146" s="27"/>
      <c r="IE146" s="27"/>
      <c r="IF146" s="27"/>
      <c r="IG146" s="27"/>
      <c r="IH146" s="27"/>
      <c r="II146" s="27"/>
      <c r="IJ146" s="27"/>
      <c r="IK146" s="27"/>
      <c r="IL146" s="27"/>
      <c r="IM146" s="27"/>
      <c r="IN146" s="27"/>
      <c r="IO146" s="27"/>
      <c r="IP146" s="27"/>
      <c r="IQ146" s="27"/>
      <c r="IR146" s="27"/>
      <c r="IS146" s="27"/>
      <c r="IT146" s="27"/>
      <c r="IU146" s="27"/>
      <c r="IV146" s="27"/>
      <c r="IW146" s="27"/>
      <c r="IX146" s="27"/>
      <c r="IY146" s="27"/>
      <c r="IZ146" s="27"/>
      <c r="JA146" s="27"/>
      <c r="JB146" s="27"/>
      <c r="JC146" s="27"/>
      <c r="JD146" s="28"/>
    </row>
    <row r="147" spans="9:264" ht="7.5" customHeight="1" x14ac:dyDescent="0.25">
      <c r="I147" s="26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27"/>
      <c r="CH147" s="27"/>
      <c r="CI147" s="27"/>
      <c r="CJ147" s="28"/>
      <c r="CK147" s="2"/>
      <c r="CL147" s="2"/>
      <c r="CM147" s="2"/>
      <c r="CN147" s="2"/>
      <c r="CO147" s="2"/>
      <c r="CP147" s="2"/>
      <c r="CQ147" s="2"/>
      <c r="CR147" s="2"/>
      <c r="CS147" s="26"/>
      <c r="CT147" s="27"/>
      <c r="CU147" s="27"/>
      <c r="CV147" s="27"/>
      <c r="CW147" s="27"/>
      <c r="CX147" s="27"/>
      <c r="CY147" s="27"/>
      <c r="CZ147" s="27"/>
      <c r="DA147" s="27"/>
      <c r="DB147" s="27"/>
      <c r="DC147" s="27"/>
      <c r="DD147" s="27"/>
      <c r="DE147" s="27"/>
      <c r="DF147" s="27"/>
      <c r="DG147" s="27"/>
      <c r="DH147" s="27"/>
      <c r="DI147" s="27"/>
      <c r="DJ147" s="27"/>
      <c r="DK147" s="27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  <c r="EJ147" s="27"/>
      <c r="EK147" s="27"/>
      <c r="EL147" s="27"/>
      <c r="EM147" s="27"/>
      <c r="EN147" s="27"/>
      <c r="EO147" s="27"/>
      <c r="EP147" s="27"/>
      <c r="EQ147" s="27"/>
      <c r="ER147" s="27"/>
      <c r="ES147" s="27"/>
      <c r="ET147" s="27"/>
      <c r="EU147" s="27"/>
      <c r="EV147" s="27"/>
      <c r="EW147" s="27"/>
      <c r="EX147" s="27"/>
      <c r="EY147" s="27"/>
      <c r="EZ147" s="27"/>
      <c r="FA147" s="27"/>
      <c r="FB147" s="27"/>
      <c r="FC147" s="27"/>
      <c r="FD147" s="27"/>
      <c r="FE147" s="27"/>
      <c r="FF147" s="27"/>
      <c r="FG147" s="27"/>
      <c r="FH147" s="27"/>
      <c r="FI147" s="27"/>
      <c r="FJ147" s="27"/>
      <c r="FK147" s="27"/>
      <c r="FL147" s="27"/>
      <c r="FM147" s="27"/>
      <c r="FN147" s="27"/>
      <c r="FO147" s="27"/>
      <c r="FP147" s="27"/>
      <c r="FQ147" s="27"/>
      <c r="FR147" s="27"/>
      <c r="FS147" s="27"/>
      <c r="FT147" s="28"/>
      <c r="FU147" s="2"/>
      <c r="FV147" s="2"/>
      <c r="FW147" s="2"/>
      <c r="FX147" s="2"/>
      <c r="FY147" s="2"/>
      <c r="FZ147" s="2"/>
      <c r="GA147" s="2"/>
      <c r="GB147" s="2"/>
      <c r="GC147" s="26"/>
      <c r="GD147" s="27"/>
      <c r="GE147" s="27"/>
      <c r="GF147" s="27"/>
      <c r="GG147" s="27"/>
      <c r="GH147" s="27"/>
      <c r="GI147" s="27"/>
      <c r="GJ147" s="27"/>
      <c r="GK147" s="27"/>
      <c r="GL147" s="27"/>
      <c r="GM147" s="27"/>
      <c r="GN147" s="27"/>
      <c r="GO147" s="27"/>
      <c r="GP147" s="27"/>
      <c r="GQ147" s="27"/>
      <c r="GR147" s="27"/>
      <c r="GS147" s="27"/>
      <c r="GT147" s="27"/>
      <c r="GU147" s="27"/>
      <c r="GV147" s="27"/>
      <c r="GW147" s="27"/>
      <c r="GX147" s="27"/>
      <c r="GY147" s="27"/>
      <c r="GZ147" s="27"/>
      <c r="HA147" s="27"/>
      <c r="HB147" s="27"/>
      <c r="HC147" s="27"/>
      <c r="HD147" s="27"/>
      <c r="HE147" s="27"/>
      <c r="HF147" s="27"/>
      <c r="HG147" s="27"/>
      <c r="HH147" s="27"/>
      <c r="HI147" s="27"/>
      <c r="HJ147" s="27"/>
      <c r="HK147" s="27"/>
      <c r="HL147" s="27"/>
      <c r="HM147" s="27"/>
      <c r="HN147" s="27"/>
      <c r="HO147" s="27"/>
      <c r="HP147" s="27"/>
      <c r="HQ147" s="27"/>
      <c r="HR147" s="27"/>
      <c r="HS147" s="27"/>
      <c r="HT147" s="27"/>
      <c r="HU147" s="27"/>
      <c r="HV147" s="27"/>
      <c r="HW147" s="27"/>
      <c r="HX147" s="27"/>
      <c r="HY147" s="27"/>
      <c r="HZ147" s="27"/>
      <c r="IA147" s="27"/>
      <c r="IB147" s="27"/>
      <c r="IC147" s="27"/>
      <c r="ID147" s="27"/>
      <c r="IE147" s="27"/>
      <c r="IF147" s="27"/>
      <c r="IG147" s="27"/>
      <c r="IH147" s="27"/>
      <c r="II147" s="27"/>
      <c r="IJ147" s="27"/>
      <c r="IK147" s="27"/>
      <c r="IL147" s="27"/>
      <c r="IM147" s="27"/>
      <c r="IN147" s="27"/>
      <c r="IO147" s="27"/>
      <c r="IP147" s="27"/>
      <c r="IQ147" s="27"/>
      <c r="IR147" s="27"/>
      <c r="IS147" s="27"/>
      <c r="IT147" s="27"/>
      <c r="IU147" s="27"/>
      <c r="IV147" s="27"/>
      <c r="IW147" s="27"/>
      <c r="IX147" s="27"/>
      <c r="IY147" s="27"/>
      <c r="IZ147" s="27"/>
      <c r="JA147" s="27"/>
      <c r="JB147" s="27"/>
      <c r="JC147" s="27"/>
      <c r="JD147" s="28"/>
    </row>
    <row r="148" spans="9:264" ht="7.5" customHeight="1" x14ac:dyDescent="0.25">
      <c r="I148" s="26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27"/>
      <c r="CH148" s="27"/>
      <c r="CI148" s="27"/>
      <c r="CJ148" s="28"/>
      <c r="CK148" s="2"/>
      <c r="CL148" s="2"/>
      <c r="CM148" s="2"/>
      <c r="CN148" s="2"/>
      <c r="CO148" s="2"/>
      <c r="CP148" s="2"/>
      <c r="CQ148" s="2"/>
      <c r="CR148" s="2"/>
      <c r="CS148" s="26"/>
      <c r="CT148" s="27"/>
      <c r="CU148" s="27"/>
      <c r="CV148" s="27"/>
      <c r="CW148" s="27"/>
      <c r="CX148" s="27"/>
      <c r="CY148" s="27"/>
      <c r="CZ148" s="27"/>
      <c r="DA148" s="27"/>
      <c r="DB148" s="27"/>
      <c r="DC148" s="27"/>
      <c r="DD148" s="27"/>
      <c r="DE148" s="27"/>
      <c r="DF148" s="27"/>
      <c r="DG148" s="27"/>
      <c r="DH148" s="27"/>
      <c r="DI148" s="27"/>
      <c r="DJ148" s="27"/>
      <c r="DK148" s="27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  <c r="EJ148" s="27"/>
      <c r="EK148" s="27"/>
      <c r="EL148" s="27"/>
      <c r="EM148" s="27"/>
      <c r="EN148" s="27"/>
      <c r="EO148" s="27"/>
      <c r="EP148" s="27"/>
      <c r="EQ148" s="27"/>
      <c r="ER148" s="27"/>
      <c r="ES148" s="27"/>
      <c r="ET148" s="27"/>
      <c r="EU148" s="27"/>
      <c r="EV148" s="27"/>
      <c r="EW148" s="27"/>
      <c r="EX148" s="27"/>
      <c r="EY148" s="27"/>
      <c r="EZ148" s="27"/>
      <c r="FA148" s="27"/>
      <c r="FB148" s="27"/>
      <c r="FC148" s="27"/>
      <c r="FD148" s="27"/>
      <c r="FE148" s="27"/>
      <c r="FF148" s="27"/>
      <c r="FG148" s="27"/>
      <c r="FH148" s="27"/>
      <c r="FI148" s="27"/>
      <c r="FJ148" s="27"/>
      <c r="FK148" s="27"/>
      <c r="FL148" s="27"/>
      <c r="FM148" s="27"/>
      <c r="FN148" s="27"/>
      <c r="FO148" s="27"/>
      <c r="FP148" s="27"/>
      <c r="FQ148" s="27"/>
      <c r="FR148" s="27"/>
      <c r="FS148" s="27"/>
      <c r="FT148" s="28"/>
      <c r="FU148" s="2"/>
      <c r="FV148" s="2"/>
      <c r="FW148" s="2"/>
      <c r="FX148" s="2"/>
      <c r="FY148" s="2"/>
      <c r="FZ148" s="2"/>
      <c r="GA148" s="2"/>
      <c r="GB148" s="2"/>
      <c r="GC148" s="26"/>
      <c r="GD148" s="27"/>
      <c r="GE148" s="27"/>
      <c r="GF148" s="27"/>
      <c r="GG148" s="27"/>
      <c r="GH148" s="27"/>
      <c r="GI148" s="27"/>
      <c r="GJ148" s="27"/>
      <c r="GK148" s="27"/>
      <c r="GL148" s="27"/>
      <c r="GM148" s="27"/>
      <c r="GN148" s="27"/>
      <c r="GO148" s="27"/>
      <c r="GP148" s="27"/>
      <c r="GQ148" s="27"/>
      <c r="GR148" s="27"/>
      <c r="GS148" s="27"/>
      <c r="GT148" s="27"/>
      <c r="GU148" s="27"/>
      <c r="GV148" s="27"/>
      <c r="GW148" s="27"/>
      <c r="GX148" s="27"/>
      <c r="GY148" s="27"/>
      <c r="GZ148" s="27"/>
      <c r="HA148" s="27"/>
      <c r="HB148" s="27"/>
      <c r="HC148" s="27"/>
      <c r="HD148" s="27"/>
      <c r="HE148" s="27"/>
      <c r="HF148" s="27"/>
      <c r="HG148" s="27"/>
      <c r="HH148" s="27"/>
      <c r="HI148" s="27"/>
      <c r="HJ148" s="27"/>
      <c r="HK148" s="27"/>
      <c r="HL148" s="27"/>
      <c r="HM148" s="27"/>
      <c r="HN148" s="27"/>
      <c r="HO148" s="27"/>
      <c r="HP148" s="27"/>
      <c r="HQ148" s="27"/>
      <c r="HR148" s="27"/>
      <c r="HS148" s="27"/>
      <c r="HT148" s="27"/>
      <c r="HU148" s="27"/>
      <c r="HV148" s="27"/>
      <c r="HW148" s="27"/>
      <c r="HX148" s="27"/>
      <c r="HY148" s="27"/>
      <c r="HZ148" s="27"/>
      <c r="IA148" s="27"/>
      <c r="IB148" s="27"/>
      <c r="IC148" s="27"/>
      <c r="ID148" s="27"/>
      <c r="IE148" s="27"/>
      <c r="IF148" s="27"/>
      <c r="IG148" s="27"/>
      <c r="IH148" s="27"/>
      <c r="II148" s="27"/>
      <c r="IJ148" s="27"/>
      <c r="IK148" s="27"/>
      <c r="IL148" s="27"/>
      <c r="IM148" s="27"/>
      <c r="IN148" s="27"/>
      <c r="IO148" s="27"/>
      <c r="IP148" s="27"/>
      <c r="IQ148" s="27"/>
      <c r="IR148" s="27"/>
      <c r="IS148" s="27"/>
      <c r="IT148" s="27"/>
      <c r="IU148" s="27"/>
      <c r="IV148" s="27"/>
      <c r="IW148" s="27"/>
      <c r="IX148" s="27"/>
      <c r="IY148" s="27"/>
      <c r="IZ148" s="27"/>
      <c r="JA148" s="27"/>
      <c r="JB148" s="27"/>
      <c r="JC148" s="27"/>
      <c r="JD148" s="28"/>
    </row>
    <row r="149" spans="9:264" ht="7.5" customHeight="1" x14ac:dyDescent="0.25">
      <c r="I149" s="26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27"/>
      <c r="CH149" s="27"/>
      <c r="CI149" s="27"/>
      <c r="CJ149" s="28"/>
      <c r="CS149" s="26"/>
      <c r="CT149" s="27"/>
      <c r="CU149" s="27"/>
      <c r="CV149" s="27"/>
      <c r="CW149" s="27"/>
      <c r="CX149" s="27"/>
      <c r="CY149" s="27"/>
      <c r="CZ149" s="27"/>
      <c r="DA149" s="27"/>
      <c r="DB149" s="27"/>
      <c r="DC149" s="27"/>
      <c r="DD149" s="27"/>
      <c r="DE149" s="27"/>
      <c r="DF149" s="27"/>
      <c r="DG149" s="27"/>
      <c r="DH149" s="27"/>
      <c r="DI149" s="27"/>
      <c r="DJ149" s="27"/>
      <c r="DK149" s="27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  <c r="EJ149" s="27"/>
      <c r="EK149" s="27"/>
      <c r="EL149" s="27"/>
      <c r="EM149" s="27"/>
      <c r="EN149" s="27"/>
      <c r="EO149" s="27"/>
      <c r="EP149" s="27"/>
      <c r="EQ149" s="27"/>
      <c r="ER149" s="27"/>
      <c r="ES149" s="27"/>
      <c r="ET149" s="27"/>
      <c r="EU149" s="27"/>
      <c r="EV149" s="27"/>
      <c r="EW149" s="27"/>
      <c r="EX149" s="27"/>
      <c r="EY149" s="27"/>
      <c r="EZ149" s="27"/>
      <c r="FA149" s="27"/>
      <c r="FB149" s="27"/>
      <c r="FC149" s="27"/>
      <c r="FD149" s="27"/>
      <c r="FE149" s="27"/>
      <c r="FF149" s="27"/>
      <c r="FG149" s="27"/>
      <c r="FH149" s="27"/>
      <c r="FI149" s="27"/>
      <c r="FJ149" s="27"/>
      <c r="FK149" s="27"/>
      <c r="FL149" s="27"/>
      <c r="FM149" s="27"/>
      <c r="FN149" s="27"/>
      <c r="FO149" s="27"/>
      <c r="FP149" s="27"/>
      <c r="FQ149" s="27"/>
      <c r="FR149" s="27"/>
      <c r="FS149" s="27"/>
      <c r="FT149" s="28"/>
      <c r="GC149" s="26"/>
      <c r="GD149" s="27"/>
      <c r="GE149" s="27"/>
      <c r="GF149" s="27"/>
      <c r="GG149" s="27"/>
      <c r="GH149" s="27"/>
      <c r="GI149" s="27"/>
      <c r="GJ149" s="27"/>
      <c r="GK149" s="27"/>
      <c r="GL149" s="27"/>
      <c r="GM149" s="27"/>
      <c r="GN149" s="27"/>
      <c r="GO149" s="27"/>
      <c r="GP149" s="27"/>
      <c r="GQ149" s="27"/>
      <c r="GR149" s="27"/>
      <c r="GS149" s="27"/>
      <c r="GT149" s="27"/>
      <c r="GU149" s="27"/>
      <c r="GV149" s="27"/>
      <c r="GW149" s="27"/>
      <c r="GX149" s="27"/>
      <c r="GY149" s="27"/>
      <c r="GZ149" s="27"/>
      <c r="HA149" s="27"/>
      <c r="HB149" s="27"/>
      <c r="HC149" s="27"/>
      <c r="HD149" s="27"/>
      <c r="HE149" s="27"/>
      <c r="HF149" s="27"/>
      <c r="HG149" s="27"/>
      <c r="HH149" s="27"/>
      <c r="HI149" s="27"/>
      <c r="HJ149" s="27"/>
      <c r="HK149" s="27"/>
      <c r="HL149" s="27"/>
      <c r="HM149" s="27"/>
      <c r="HN149" s="27"/>
      <c r="HO149" s="27"/>
      <c r="HP149" s="27"/>
      <c r="HQ149" s="27"/>
      <c r="HR149" s="27"/>
      <c r="HS149" s="27"/>
      <c r="HT149" s="27"/>
      <c r="HU149" s="27"/>
      <c r="HV149" s="27"/>
      <c r="HW149" s="27"/>
      <c r="HX149" s="27"/>
      <c r="HY149" s="27"/>
      <c r="HZ149" s="27"/>
      <c r="IA149" s="27"/>
      <c r="IB149" s="27"/>
      <c r="IC149" s="27"/>
      <c r="ID149" s="27"/>
      <c r="IE149" s="27"/>
      <c r="IF149" s="27"/>
      <c r="IG149" s="27"/>
      <c r="IH149" s="27"/>
      <c r="II149" s="27"/>
      <c r="IJ149" s="27"/>
      <c r="IK149" s="27"/>
      <c r="IL149" s="27"/>
      <c r="IM149" s="27"/>
      <c r="IN149" s="27"/>
      <c r="IO149" s="27"/>
      <c r="IP149" s="27"/>
      <c r="IQ149" s="27"/>
      <c r="IR149" s="27"/>
      <c r="IS149" s="27"/>
      <c r="IT149" s="27"/>
      <c r="IU149" s="27"/>
      <c r="IV149" s="27"/>
      <c r="IW149" s="27"/>
      <c r="IX149" s="27"/>
      <c r="IY149" s="27"/>
      <c r="IZ149" s="27"/>
      <c r="JA149" s="27"/>
      <c r="JB149" s="27"/>
      <c r="JC149" s="27"/>
      <c r="JD149" s="28"/>
    </row>
    <row r="150" spans="9:264" ht="7.5" customHeight="1" x14ac:dyDescent="0.25">
      <c r="I150" s="26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27"/>
      <c r="CH150" s="27"/>
      <c r="CI150" s="27"/>
      <c r="CJ150" s="28"/>
      <c r="CS150" s="26"/>
      <c r="CT150" s="27"/>
      <c r="CU150" s="27"/>
      <c r="CV150" s="27"/>
      <c r="CW150" s="27"/>
      <c r="CX150" s="27"/>
      <c r="CY150" s="27"/>
      <c r="CZ150" s="27"/>
      <c r="DA150" s="27"/>
      <c r="DB150" s="27"/>
      <c r="DC150" s="27"/>
      <c r="DD150" s="27"/>
      <c r="DE150" s="27"/>
      <c r="DF150" s="27"/>
      <c r="DG150" s="27"/>
      <c r="DH150" s="27"/>
      <c r="DI150" s="27"/>
      <c r="DJ150" s="27"/>
      <c r="DK150" s="27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  <c r="EJ150" s="27"/>
      <c r="EK150" s="27"/>
      <c r="EL150" s="27"/>
      <c r="EM150" s="27"/>
      <c r="EN150" s="27"/>
      <c r="EO150" s="27"/>
      <c r="EP150" s="27"/>
      <c r="EQ150" s="27"/>
      <c r="ER150" s="27"/>
      <c r="ES150" s="27"/>
      <c r="ET150" s="27"/>
      <c r="EU150" s="27"/>
      <c r="EV150" s="27"/>
      <c r="EW150" s="27"/>
      <c r="EX150" s="27"/>
      <c r="EY150" s="27"/>
      <c r="EZ150" s="27"/>
      <c r="FA150" s="27"/>
      <c r="FB150" s="27"/>
      <c r="FC150" s="27"/>
      <c r="FD150" s="27"/>
      <c r="FE150" s="27"/>
      <c r="FF150" s="27"/>
      <c r="FG150" s="27"/>
      <c r="FH150" s="27"/>
      <c r="FI150" s="27"/>
      <c r="FJ150" s="27"/>
      <c r="FK150" s="27"/>
      <c r="FL150" s="27"/>
      <c r="FM150" s="27"/>
      <c r="FN150" s="27"/>
      <c r="FO150" s="27"/>
      <c r="FP150" s="27"/>
      <c r="FQ150" s="27"/>
      <c r="FR150" s="27"/>
      <c r="FS150" s="27"/>
      <c r="FT150" s="28"/>
      <c r="GC150" s="26"/>
      <c r="GD150" s="27"/>
      <c r="GE150" s="27"/>
      <c r="GF150" s="27"/>
      <c r="GG150" s="27"/>
      <c r="GH150" s="27"/>
      <c r="GI150" s="27"/>
      <c r="GJ150" s="27"/>
      <c r="GK150" s="27"/>
      <c r="GL150" s="27"/>
      <c r="GM150" s="27"/>
      <c r="GN150" s="27"/>
      <c r="GO150" s="27"/>
      <c r="GP150" s="27"/>
      <c r="GQ150" s="27"/>
      <c r="GR150" s="27"/>
      <c r="GS150" s="27"/>
      <c r="GT150" s="27"/>
      <c r="GU150" s="27"/>
      <c r="GV150" s="27"/>
      <c r="GW150" s="27"/>
      <c r="GX150" s="27"/>
      <c r="GY150" s="27"/>
      <c r="GZ150" s="27"/>
      <c r="HA150" s="27"/>
      <c r="HB150" s="27"/>
      <c r="HC150" s="27"/>
      <c r="HD150" s="27"/>
      <c r="HE150" s="27"/>
      <c r="HF150" s="27"/>
      <c r="HG150" s="27"/>
      <c r="HH150" s="27"/>
      <c r="HI150" s="27"/>
      <c r="HJ150" s="27"/>
      <c r="HK150" s="27"/>
      <c r="HL150" s="27"/>
      <c r="HM150" s="27"/>
      <c r="HN150" s="27"/>
      <c r="HO150" s="27"/>
      <c r="HP150" s="27"/>
      <c r="HQ150" s="27"/>
      <c r="HR150" s="27"/>
      <c r="HS150" s="27"/>
      <c r="HT150" s="27"/>
      <c r="HU150" s="27"/>
      <c r="HV150" s="27"/>
      <c r="HW150" s="27"/>
      <c r="HX150" s="27"/>
      <c r="HY150" s="27"/>
      <c r="HZ150" s="27"/>
      <c r="IA150" s="27"/>
      <c r="IB150" s="27"/>
      <c r="IC150" s="27"/>
      <c r="ID150" s="27"/>
      <c r="IE150" s="27"/>
      <c r="IF150" s="27"/>
      <c r="IG150" s="27"/>
      <c r="IH150" s="27"/>
      <c r="II150" s="27"/>
      <c r="IJ150" s="27"/>
      <c r="IK150" s="27"/>
      <c r="IL150" s="27"/>
      <c r="IM150" s="27"/>
      <c r="IN150" s="27"/>
      <c r="IO150" s="27"/>
      <c r="IP150" s="27"/>
      <c r="IQ150" s="27"/>
      <c r="IR150" s="27"/>
      <c r="IS150" s="27"/>
      <c r="IT150" s="27"/>
      <c r="IU150" s="27"/>
      <c r="IV150" s="27"/>
      <c r="IW150" s="27"/>
      <c r="IX150" s="27"/>
      <c r="IY150" s="27"/>
      <c r="IZ150" s="27"/>
      <c r="JA150" s="27"/>
      <c r="JB150" s="27"/>
      <c r="JC150" s="27"/>
      <c r="JD150" s="28"/>
    </row>
    <row r="151" spans="9:264" ht="7.5" customHeight="1" x14ac:dyDescent="0.25">
      <c r="I151" s="26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27"/>
      <c r="CH151" s="27"/>
      <c r="CI151" s="27"/>
      <c r="CJ151" s="28"/>
      <c r="CS151" s="26"/>
      <c r="CT151" s="27"/>
      <c r="CU151" s="27"/>
      <c r="CV151" s="27"/>
      <c r="CW151" s="27"/>
      <c r="CX151" s="27"/>
      <c r="CY151" s="27"/>
      <c r="CZ151" s="27"/>
      <c r="DA151" s="27"/>
      <c r="DB151" s="27"/>
      <c r="DC151" s="27"/>
      <c r="DD151" s="27"/>
      <c r="DE151" s="27"/>
      <c r="DF151" s="27"/>
      <c r="DG151" s="27"/>
      <c r="DH151" s="27"/>
      <c r="DI151" s="27"/>
      <c r="DJ151" s="27"/>
      <c r="DK151" s="27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  <c r="EJ151" s="27"/>
      <c r="EK151" s="27"/>
      <c r="EL151" s="27"/>
      <c r="EM151" s="27"/>
      <c r="EN151" s="27"/>
      <c r="EO151" s="27"/>
      <c r="EP151" s="27"/>
      <c r="EQ151" s="27"/>
      <c r="ER151" s="27"/>
      <c r="ES151" s="27"/>
      <c r="ET151" s="27"/>
      <c r="EU151" s="27"/>
      <c r="EV151" s="27"/>
      <c r="EW151" s="27"/>
      <c r="EX151" s="27"/>
      <c r="EY151" s="27"/>
      <c r="EZ151" s="27"/>
      <c r="FA151" s="27"/>
      <c r="FB151" s="27"/>
      <c r="FC151" s="27"/>
      <c r="FD151" s="27"/>
      <c r="FE151" s="27"/>
      <c r="FF151" s="27"/>
      <c r="FG151" s="27"/>
      <c r="FH151" s="27"/>
      <c r="FI151" s="27"/>
      <c r="FJ151" s="27"/>
      <c r="FK151" s="27"/>
      <c r="FL151" s="27"/>
      <c r="FM151" s="27"/>
      <c r="FN151" s="27"/>
      <c r="FO151" s="27"/>
      <c r="FP151" s="27"/>
      <c r="FQ151" s="27"/>
      <c r="FR151" s="27"/>
      <c r="FS151" s="27"/>
      <c r="FT151" s="28"/>
      <c r="GC151" s="26"/>
      <c r="GD151" s="27"/>
      <c r="GE151" s="27"/>
      <c r="GF151" s="27"/>
      <c r="GG151" s="27"/>
      <c r="GH151" s="27"/>
      <c r="GI151" s="27"/>
      <c r="GJ151" s="27"/>
      <c r="GK151" s="27"/>
      <c r="GL151" s="27"/>
      <c r="GM151" s="27"/>
      <c r="GN151" s="27"/>
      <c r="GO151" s="27"/>
      <c r="GP151" s="27"/>
      <c r="GQ151" s="27"/>
      <c r="GR151" s="27"/>
      <c r="GS151" s="27"/>
      <c r="GT151" s="27"/>
      <c r="GU151" s="27"/>
      <c r="GV151" s="27"/>
      <c r="GW151" s="27"/>
      <c r="GX151" s="27"/>
      <c r="GY151" s="27"/>
      <c r="GZ151" s="27"/>
      <c r="HA151" s="27"/>
      <c r="HB151" s="27"/>
      <c r="HC151" s="27"/>
      <c r="HD151" s="27"/>
      <c r="HE151" s="27"/>
      <c r="HF151" s="27"/>
      <c r="HG151" s="27"/>
      <c r="HH151" s="27"/>
      <c r="HI151" s="27"/>
      <c r="HJ151" s="27"/>
      <c r="HK151" s="27"/>
      <c r="HL151" s="27"/>
      <c r="HM151" s="27"/>
      <c r="HN151" s="27"/>
      <c r="HO151" s="27"/>
      <c r="HP151" s="27"/>
      <c r="HQ151" s="27"/>
      <c r="HR151" s="27"/>
      <c r="HS151" s="27"/>
      <c r="HT151" s="27"/>
      <c r="HU151" s="27"/>
      <c r="HV151" s="27"/>
      <c r="HW151" s="27"/>
      <c r="HX151" s="27"/>
      <c r="HY151" s="27"/>
      <c r="HZ151" s="27"/>
      <c r="IA151" s="27"/>
      <c r="IB151" s="27"/>
      <c r="IC151" s="27"/>
      <c r="ID151" s="27"/>
      <c r="IE151" s="27"/>
      <c r="IF151" s="27"/>
      <c r="IG151" s="27"/>
      <c r="IH151" s="27"/>
      <c r="II151" s="27"/>
      <c r="IJ151" s="27"/>
      <c r="IK151" s="27"/>
      <c r="IL151" s="27"/>
      <c r="IM151" s="27"/>
      <c r="IN151" s="27"/>
      <c r="IO151" s="27"/>
      <c r="IP151" s="27"/>
      <c r="IQ151" s="27"/>
      <c r="IR151" s="27"/>
      <c r="IS151" s="27"/>
      <c r="IT151" s="27"/>
      <c r="IU151" s="27"/>
      <c r="IV151" s="27"/>
      <c r="IW151" s="27"/>
      <c r="IX151" s="27"/>
      <c r="IY151" s="27"/>
      <c r="IZ151" s="27"/>
      <c r="JA151" s="27"/>
      <c r="JB151" s="27"/>
      <c r="JC151" s="27"/>
      <c r="JD151" s="28"/>
    </row>
    <row r="152" spans="9:264" ht="7.5" customHeight="1" x14ac:dyDescent="0.25">
      <c r="I152" s="26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27"/>
      <c r="CH152" s="27"/>
      <c r="CI152" s="27"/>
      <c r="CJ152" s="28"/>
      <c r="CS152" s="26"/>
      <c r="CT152" s="27"/>
      <c r="CU152" s="27"/>
      <c r="CV152" s="27"/>
      <c r="CW152" s="27"/>
      <c r="CX152" s="27"/>
      <c r="CY152" s="27"/>
      <c r="CZ152" s="27"/>
      <c r="DA152" s="27"/>
      <c r="DB152" s="27"/>
      <c r="DC152" s="27"/>
      <c r="DD152" s="27"/>
      <c r="DE152" s="27"/>
      <c r="DF152" s="27"/>
      <c r="DG152" s="27"/>
      <c r="DH152" s="27"/>
      <c r="DI152" s="27"/>
      <c r="DJ152" s="27"/>
      <c r="DK152" s="27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  <c r="EJ152" s="27"/>
      <c r="EK152" s="27"/>
      <c r="EL152" s="27"/>
      <c r="EM152" s="27"/>
      <c r="EN152" s="27"/>
      <c r="EO152" s="27"/>
      <c r="EP152" s="27"/>
      <c r="EQ152" s="27"/>
      <c r="ER152" s="27"/>
      <c r="ES152" s="27"/>
      <c r="ET152" s="27"/>
      <c r="EU152" s="27"/>
      <c r="EV152" s="27"/>
      <c r="EW152" s="27"/>
      <c r="EX152" s="27"/>
      <c r="EY152" s="27"/>
      <c r="EZ152" s="27"/>
      <c r="FA152" s="27"/>
      <c r="FB152" s="27"/>
      <c r="FC152" s="27"/>
      <c r="FD152" s="27"/>
      <c r="FE152" s="27"/>
      <c r="FF152" s="27"/>
      <c r="FG152" s="27"/>
      <c r="FH152" s="27"/>
      <c r="FI152" s="27"/>
      <c r="FJ152" s="27"/>
      <c r="FK152" s="27"/>
      <c r="FL152" s="27"/>
      <c r="FM152" s="27"/>
      <c r="FN152" s="27"/>
      <c r="FO152" s="27"/>
      <c r="FP152" s="27"/>
      <c r="FQ152" s="27"/>
      <c r="FR152" s="27"/>
      <c r="FS152" s="27"/>
      <c r="FT152" s="28"/>
      <c r="GC152" s="26"/>
      <c r="GD152" s="27"/>
      <c r="GE152" s="27"/>
      <c r="GF152" s="27"/>
      <c r="GG152" s="27"/>
      <c r="GH152" s="27"/>
      <c r="GI152" s="27"/>
      <c r="GJ152" s="27"/>
      <c r="GK152" s="27"/>
      <c r="GL152" s="27"/>
      <c r="GM152" s="27"/>
      <c r="GN152" s="27"/>
      <c r="GO152" s="27"/>
      <c r="GP152" s="27"/>
      <c r="GQ152" s="27"/>
      <c r="GR152" s="27"/>
      <c r="GS152" s="27"/>
      <c r="GT152" s="27"/>
      <c r="GU152" s="27"/>
      <c r="GV152" s="27"/>
      <c r="GW152" s="27"/>
      <c r="GX152" s="27"/>
      <c r="GY152" s="27"/>
      <c r="GZ152" s="27"/>
      <c r="HA152" s="27"/>
      <c r="HB152" s="27"/>
      <c r="HC152" s="27"/>
      <c r="HD152" s="27"/>
      <c r="HE152" s="27"/>
      <c r="HF152" s="27"/>
      <c r="HG152" s="27"/>
      <c r="HH152" s="27"/>
      <c r="HI152" s="27"/>
      <c r="HJ152" s="27"/>
      <c r="HK152" s="27"/>
      <c r="HL152" s="27"/>
      <c r="HM152" s="27"/>
      <c r="HN152" s="27"/>
      <c r="HO152" s="27"/>
      <c r="HP152" s="27"/>
      <c r="HQ152" s="27"/>
      <c r="HR152" s="27"/>
      <c r="HS152" s="27"/>
      <c r="HT152" s="27"/>
      <c r="HU152" s="27"/>
      <c r="HV152" s="27"/>
      <c r="HW152" s="27"/>
      <c r="HX152" s="27"/>
      <c r="HY152" s="27"/>
      <c r="HZ152" s="27"/>
      <c r="IA152" s="27"/>
      <c r="IB152" s="27"/>
      <c r="IC152" s="27"/>
      <c r="ID152" s="27"/>
      <c r="IE152" s="27"/>
      <c r="IF152" s="27"/>
      <c r="IG152" s="27"/>
      <c r="IH152" s="27"/>
      <c r="II152" s="27"/>
      <c r="IJ152" s="27"/>
      <c r="IK152" s="27"/>
      <c r="IL152" s="27"/>
      <c r="IM152" s="27"/>
      <c r="IN152" s="27"/>
      <c r="IO152" s="27"/>
      <c r="IP152" s="27"/>
      <c r="IQ152" s="27"/>
      <c r="IR152" s="27"/>
      <c r="IS152" s="27"/>
      <c r="IT152" s="27"/>
      <c r="IU152" s="27"/>
      <c r="IV152" s="27"/>
      <c r="IW152" s="27"/>
      <c r="IX152" s="27"/>
      <c r="IY152" s="27"/>
      <c r="IZ152" s="27"/>
      <c r="JA152" s="27"/>
      <c r="JB152" s="27"/>
      <c r="JC152" s="27"/>
      <c r="JD152" s="28"/>
    </row>
    <row r="153" spans="9:264" ht="7.5" customHeight="1" x14ac:dyDescent="0.25">
      <c r="I153" s="26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27"/>
      <c r="CH153" s="27"/>
      <c r="CI153" s="27"/>
      <c r="CJ153" s="28"/>
      <c r="CS153" s="26"/>
      <c r="CT153" s="27"/>
      <c r="CU153" s="27"/>
      <c r="CV153" s="27"/>
      <c r="CW153" s="27"/>
      <c r="CX153" s="27"/>
      <c r="CY153" s="27"/>
      <c r="CZ153" s="27"/>
      <c r="DA153" s="27"/>
      <c r="DB153" s="27"/>
      <c r="DC153" s="27"/>
      <c r="DD153" s="27"/>
      <c r="DE153" s="27"/>
      <c r="DF153" s="27"/>
      <c r="DG153" s="27"/>
      <c r="DH153" s="27"/>
      <c r="DI153" s="27"/>
      <c r="DJ153" s="27"/>
      <c r="DK153" s="27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  <c r="EJ153" s="27"/>
      <c r="EK153" s="27"/>
      <c r="EL153" s="27"/>
      <c r="EM153" s="27"/>
      <c r="EN153" s="27"/>
      <c r="EO153" s="27"/>
      <c r="EP153" s="27"/>
      <c r="EQ153" s="27"/>
      <c r="ER153" s="27"/>
      <c r="ES153" s="27"/>
      <c r="ET153" s="27"/>
      <c r="EU153" s="27"/>
      <c r="EV153" s="27"/>
      <c r="EW153" s="27"/>
      <c r="EX153" s="27"/>
      <c r="EY153" s="27"/>
      <c r="EZ153" s="27"/>
      <c r="FA153" s="27"/>
      <c r="FB153" s="27"/>
      <c r="FC153" s="27"/>
      <c r="FD153" s="27"/>
      <c r="FE153" s="27"/>
      <c r="FF153" s="27"/>
      <c r="FG153" s="27"/>
      <c r="FH153" s="27"/>
      <c r="FI153" s="27"/>
      <c r="FJ153" s="27"/>
      <c r="FK153" s="27"/>
      <c r="FL153" s="27"/>
      <c r="FM153" s="27"/>
      <c r="FN153" s="27"/>
      <c r="FO153" s="27"/>
      <c r="FP153" s="27"/>
      <c r="FQ153" s="27"/>
      <c r="FR153" s="27"/>
      <c r="FS153" s="27"/>
      <c r="FT153" s="28"/>
      <c r="GC153" s="26"/>
      <c r="GD153" s="27"/>
      <c r="GE153" s="27"/>
      <c r="GF153" s="27"/>
      <c r="GG153" s="27"/>
      <c r="GH153" s="27"/>
      <c r="GI153" s="27"/>
      <c r="GJ153" s="27"/>
      <c r="GK153" s="27"/>
      <c r="GL153" s="27"/>
      <c r="GM153" s="27"/>
      <c r="GN153" s="27"/>
      <c r="GO153" s="27"/>
      <c r="GP153" s="27"/>
      <c r="GQ153" s="27"/>
      <c r="GR153" s="27"/>
      <c r="GS153" s="27"/>
      <c r="GT153" s="27"/>
      <c r="GU153" s="27"/>
      <c r="GV153" s="27"/>
      <c r="GW153" s="27"/>
      <c r="GX153" s="27"/>
      <c r="GY153" s="27"/>
      <c r="GZ153" s="27"/>
      <c r="HA153" s="27"/>
      <c r="HB153" s="27"/>
      <c r="HC153" s="27"/>
      <c r="HD153" s="27"/>
      <c r="HE153" s="27"/>
      <c r="HF153" s="27"/>
      <c r="HG153" s="27"/>
      <c r="HH153" s="27"/>
      <c r="HI153" s="27"/>
      <c r="HJ153" s="27"/>
      <c r="HK153" s="27"/>
      <c r="HL153" s="27"/>
      <c r="HM153" s="27"/>
      <c r="HN153" s="27"/>
      <c r="HO153" s="27"/>
      <c r="HP153" s="27"/>
      <c r="HQ153" s="27"/>
      <c r="HR153" s="27"/>
      <c r="HS153" s="27"/>
      <c r="HT153" s="27"/>
      <c r="HU153" s="27"/>
      <c r="HV153" s="27"/>
      <c r="HW153" s="27"/>
      <c r="HX153" s="27"/>
      <c r="HY153" s="27"/>
      <c r="HZ153" s="27"/>
      <c r="IA153" s="27"/>
      <c r="IB153" s="27"/>
      <c r="IC153" s="27"/>
      <c r="ID153" s="27"/>
      <c r="IE153" s="27"/>
      <c r="IF153" s="27"/>
      <c r="IG153" s="27"/>
      <c r="IH153" s="27"/>
      <c r="II153" s="27"/>
      <c r="IJ153" s="27"/>
      <c r="IK153" s="27"/>
      <c r="IL153" s="27"/>
      <c r="IM153" s="27"/>
      <c r="IN153" s="27"/>
      <c r="IO153" s="27"/>
      <c r="IP153" s="27"/>
      <c r="IQ153" s="27"/>
      <c r="IR153" s="27"/>
      <c r="IS153" s="27"/>
      <c r="IT153" s="27"/>
      <c r="IU153" s="27"/>
      <c r="IV153" s="27"/>
      <c r="IW153" s="27"/>
      <c r="IX153" s="27"/>
      <c r="IY153" s="27"/>
      <c r="IZ153" s="27"/>
      <c r="JA153" s="27"/>
      <c r="JB153" s="27"/>
      <c r="JC153" s="27"/>
      <c r="JD153" s="28"/>
    </row>
    <row r="154" spans="9:264" ht="7.5" customHeight="1" x14ac:dyDescent="0.25">
      <c r="I154" s="26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27"/>
      <c r="CH154" s="27"/>
      <c r="CI154" s="27"/>
      <c r="CJ154" s="28"/>
      <c r="CS154" s="26"/>
      <c r="CT154" s="27"/>
      <c r="CU154" s="27"/>
      <c r="CV154" s="27"/>
      <c r="CW154" s="27"/>
      <c r="CX154" s="27"/>
      <c r="CY154" s="27"/>
      <c r="CZ154" s="27"/>
      <c r="DA154" s="27"/>
      <c r="DB154" s="27"/>
      <c r="DC154" s="27"/>
      <c r="DD154" s="27"/>
      <c r="DE154" s="27"/>
      <c r="DF154" s="27"/>
      <c r="DG154" s="27"/>
      <c r="DH154" s="27"/>
      <c r="DI154" s="27"/>
      <c r="DJ154" s="27"/>
      <c r="DK154" s="27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  <c r="EJ154" s="27"/>
      <c r="EK154" s="27"/>
      <c r="EL154" s="27"/>
      <c r="EM154" s="27"/>
      <c r="EN154" s="27"/>
      <c r="EO154" s="27"/>
      <c r="EP154" s="27"/>
      <c r="EQ154" s="27"/>
      <c r="ER154" s="27"/>
      <c r="ES154" s="27"/>
      <c r="ET154" s="27"/>
      <c r="EU154" s="27"/>
      <c r="EV154" s="27"/>
      <c r="EW154" s="27"/>
      <c r="EX154" s="27"/>
      <c r="EY154" s="27"/>
      <c r="EZ154" s="27"/>
      <c r="FA154" s="27"/>
      <c r="FB154" s="27"/>
      <c r="FC154" s="27"/>
      <c r="FD154" s="27"/>
      <c r="FE154" s="27"/>
      <c r="FF154" s="27"/>
      <c r="FG154" s="27"/>
      <c r="FH154" s="27"/>
      <c r="FI154" s="27"/>
      <c r="FJ154" s="27"/>
      <c r="FK154" s="27"/>
      <c r="FL154" s="27"/>
      <c r="FM154" s="27"/>
      <c r="FN154" s="27"/>
      <c r="FO154" s="27"/>
      <c r="FP154" s="27"/>
      <c r="FQ154" s="27"/>
      <c r="FR154" s="27"/>
      <c r="FS154" s="27"/>
      <c r="FT154" s="28"/>
      <c r="GC154" s="26"/>
      <c r="GD154" s="27"/>
      <c r="GE154" s="27"/>
      <c r="GF154" s="27"/>
      <c r="GG154" s="27"/>
      <c r="GH154" s="27"/>
      <c r="GI154" s="27"/>
      <c r="GJ154" s="27"/>
      <c r="GK154" s="27"/>
      <c r="GL154" s="27"/>
      <c r="GM154" s="27"/>
      <c r="GN154" s="27"/>
      <c r="GO154" s="27"/>
      <c r="GP154" s="27"/>
      <c r="GQ154" s="27"/>
      <c r="GR154" s="27"/>
      <c r="GS154" s="27"/>
      <c r="GT154" s="27"/>
      <c r="GU154" s="27"/>
      <c r="GV154" s="27"/>
      <c r="GW154" s="27"/>
      <c r="GX154" s="27"/>
      <c r="GY154" s="27"/>
      <c r="GZ154" s="27"/>
      <c r="HA154" s="27"/>
      <c r="HB154" s="27"/>
      <c r="HC154" s="27"/>
      <c r="HD154" s="27"/>
      <c r="HE154" s="27"/>
      <c r="HF154" s="27"/>
      <c r="HG154" s="27"/>
      <c r="HH154" s="27"/>
      <c r="HI154" s="27"/>
      <c r="HJ154" s="27"/>
      <c r="HK154" s="27"/>
      <c r="HL154" s="27"/>
      <c r="HM154" s="27"/>
      <c r="HN154" s="27"/>
      <c r="HO154" s="27"/>
      <c r="HP154" s="27"/>
      <c r="HQ154" s="27"/>
      <c r="HR154" s="27"/>
      <c r="HS154" s="27"/>
      <c r="HT154" s="27"/>
      <c r="HU154" s="27"/>
      <c r="HV154" s="27"/>
      <c r="HW154" s="27"/>
      <c r="HX154" s="27"/>
      <c r="HY154" s="27"/>
      <c r="HZ154" s="27"/>
      <c r="IA154" s="27"/>
      <c r="IB154" s="27"/>
      <c r="IC154" s="27"/>
      <c r="ID154" s="27"/>
      <c r="IE154" s="27"/>
      <c r="IF154" s="27"/>
      <c r="IG154" s="27"/>
      <c r="IH154" s="27"/>
      <c r="II154" s="27"/>
      <c r="IJ154" s="27"/>
      <c r="IK154" s="27"/>
      <c r="IL154" s="27"/>
      <c r="IM154" s="27"/>
      <c r="IN154" s="27"/>
      <c r="IO154" s="27"/>
      <c r="IP154" s="27"/>
      <c r="IQ154" s="27"/>
      <c r="IR154" s="27"/>
      <c r="IS154" s="27"/>
      <c r="IT154" s="27"/>
      <c r="IU154" s="27"/>
      <c r="IV154" s="27"/>
      <c r="IW154" s="27"/>
      <c r="IX154" s="27"/>
      <c r="IY154" s="27"/>
      <c r="IZ154" s="27"/>
      <c r="JA154" s="27"/>
      <c r="JB154" s="27"/>
      <c r="JC154" s="27"/>
      <c r="JD154" s="28"/>
    </row>
    <row r="155" spans="9:264" ht="7.5" customHeight="1" x14ac:dyDescent="0.25">
      <c r="I155" s="26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8"/>
      <c r="CS155" s="26"/>
      <c r="CT155" s="27"/>
      <c r="CU155" s="27"/>
      <c r="CV155" s="27"/>
      <c r="CW155" s="27"/>
      <c r="CX155" s="27"/>
      <c r="CY155" s="27"/>
      <c r="CZ155" s="27"/>
      <c r="DA155" s="27"/>
      <c r="DB155" s="27"/>
      <c r="DC155" s="27"/>
      <c r="DD155" s="27"/>
      <c r="DE155" s="27"/>
      <c r="DF155" s="27"/>
      <c r="DG155" s="27"/>
      <c r="DH155" s="27"/>
      <c r="DI155" s="27"/>
      <c r="DJ155" s="27"/>
      <c r="DK155" s="27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  <c r="EJ155" s="27"/>
      <c r="EK155" s="27"/>
      <c r="EL155" s="27"/>
      <c r="EM155" s="27"/>
      <c r="EN155" s="27"/>
      <c r="EO155" s="27"/>
      <c r="EP155" s="27"/>
      <c r="EQ155" s="27"/>
      <c r="ER155" s="27"/>
      <c r="ES155" s="27"/>
      <c r="ET155" s="27"/>
      <c r="EU155" s="27"/>
      <c r="EV155" s="27"/>
      <c r="EW155" s="27"/>
      <c r="EX155" s="27"/>
      <c r="EY155" s="27"/>
      <c r="EZ155" s="27"/>
      <c r="FA155" s="27"/>
      <c r="FB155" s="27"/>
      <c r="FC155" s="27"/>
      <c r="FD155" s="27"/>
      <c r="FE155" s="27"/>
      <c r="FF155" s="27"/>
      <c r="FG155" s="27"/>
      <c r="FH155" s="27"/>
      <c r="FI155" s="27"/>
      <c r="FJ155" s="27"/>
      <c r="FK155" s="27"/>
      <c r="FL155" s="27"/>
      <c r="FM155" s="27"/>
      <c r="FN155" s="27"/>
      <c r="FO155" s="27"/>
      <c r="FP155" s="27"/>
      <c r="FQ155" s="27"/>
      <c r="FR155" s="27"/>
      <c r="FS155" s="27"/>
      <c r="FT155" s="28"/>
      <c r="GC155" s="26"/>
      <c r="GD155" s="27"/>
      <c r="GE155" s="27"/>
      <c r="GF155" s="27"/>
      <c r="GG155" s="27"/>
      <c r="GH155" s="27"/>
      <c r="GI155" s="27"/>
      <c r="GJ155" s="27"/>
      <c r="GK155" s="27"/>
      <c r="GL155" s="27"/>
      <c r="GM155" s="27"/>
      <c r="GN155" s="27"/>
      <c r="GO155" s="27"/>
      <c r="GP155" s="27"/>
      <c r="GQ155" s="27"/>
      <c r="GR155" s="27"/>
      <c r="GS155" s="27"/>
      <c r="GT155" s="27"/>
      <c r="GU155" s="27"/>
      <c r="GV155" s="27"/>
      <c r="GW155" s="27"/>
      <c r="GX155" s="27"/>
      <c r="GY155" s="27"/>
      <c r="GZ155" s="27"/>
      <c r="HA155" s="27"/>
      <c r="HB155" s="27"/>
      <c r="HC155" s="27"/>
      <c r="HD155" s="27"/>
      <c r="HE155" s="27"/>
      <c r="HF155" s="27"/>
      <c r="HG155" s="27"/>
      <c r="HH155" s="27"/>
      <c r="HI155" s="27"/>
      <c r="HJ155" s="27"/>
      <c r="HK155" s="27"/>
      <c r="HL155" s="27"/>
      <c r="HM155" s="27"/>
      <c r="HN155" s="27"/>
      <c r="HO155" s="27"/>
      <c r="HP155" s="27"/>
      <c r="HQ155" s="27"/>
      <c r="HR155" s="27"/>
      <c r="HS155" s="27"/>
      <c r="HT155" s="27"/>
      <c r="HU155" s="27"/>
      <c r="HV155" s="27"/>
      <c r="HW155" s="27"/>
      <c r="HX155" s="27"/>
      <c r="HY155" s="27"/>
      <c r="HZ155" s="27"/>
      <c r="IA155" s="27"/>
      <c r="IB155" s="27"/>
      <c r="IC155" s="27"/>
      <c r="ID155" s="27"/>
      <c r="IE155" s="27"/>
      <c r="IF155" s="27"/>
      <c r="IG155" s="27"/>
      <c r="IH155" s="27"/>
      <c r="II155" s="27"/>
      <c r="IJ155" s="27"/>
      <c r="IK155" s="27"/>
      <c r="IL155" s="27"/>
      <c r="IM155" s="27"/>
      <c r="IN155" s="27"/>
      <c r="IO155" s="27"/>
      <c r="IP155" s="27"/>
      <c r="IQ155" s="27"/>
      <c r="IR155" s="27"/>
      <c r="IS155" s="27"/>
      <c r="IT155" s="27"/>
      <c r="IU155" s="27"/>
      <c r="IV155" s="27"/>
      <c r="IW155" s="27"/>
      <c r="IX155" s="27"/>
      <c r="IY155" s="27"/>
      <c r="IZ155" s="27"/>
      <c r="JA155" s="27"/>
      <c r="JB155" s="27"/>
      <c r="JC155" s="27"/>
      <c r="JD155" s="28"/>
    </row>
    <row r="156" spans="9:264" ht="7.5" customHeight="1" x14ac:dyDescent="0.25">
      <c r="I156" s="26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8"/>
      <c r="CS156" s="26"/>
      <c r="CT156" s="27"/>
      <c r="CU156" s="27"/>
      <c r="CV156" s="27"/>
      <c r="CW156" s="27"/>
      <c r="CX156" s="27"/>
      <c r="CY156" s="27"/>
      <c r="CZ156" s="27"/>
      <c r="DA156" s="27"/>
      <c r="DB156" s="27"/>
      <c r="DC156" s="27"/>
      <c r="DD156" s="27"/>
      <c r="DE156" s="27"/>
      <c r="DF156" s="27"/>
      <c r="DG156" s="27"/>
      <c r="DH156" s="27"/>
      <c r="DI156" s="27"/>
      <c r="DJ156" s="27"/>
      <c r="DK156" s="27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  <c r="EJ156" s="27"/>
      <c r="EK156" s="27"/>
      <c r="EL156" s="27"/>
      <c r="EM156" s="27"/>
      <c r="EN156" s="27"/>
      <c r="EO156" s="27"/>
      <c r="EP156" s="27"/>
      <c r="EQ156" s="27"/>
      <c r="ER156" s="27"/>
      <c r="ES156" s="27"/>
      <c r="ET156" s="27"/>
      <c r="EU156" s="27"/>
      <c r="EV156" s="27"/>
      <c r="EW156" s="27"/>
      <c r="EX156" s="27"/>
      <c r="EY156" s="27"/>
      <c r="EZ156" s="27"/>
      <c r="FA156" s="27"/>
      <c r="FB156" s="27"/>
      <c r="FC156" s="27"/>
      <c r="FD156" s="27"/>
      <c r="FE156" s="27"/>
      <c r="FF156" s="27"/>
      <c r="FG156" s="27"/>
      <c r="FH156" s="27"/>
      <c r="FI156" s="27"/>
      <c r="FJ156" s="27"/>
      <c r="FK156" s="27"/>
      <c r="FL156" s="27"/>
      <c r="FM156" s="27"/>
      <c r="FN156" s="27"/>
      <c r="FO156" s="27"/>
      <c r="FP156" s="27"/>
      <c r="FQ156" s="27"/>
      <c r="FR156" s="27"/>
      <c r="FS156" s="27"/>
      <c r="FT156" s="28"/>
      <c r="GC156" s="26"/>
      <c r="GD156" s="27"/>
      <c r="GE156" s="27"/>
      <c r="GF156" s="27"/>
      <c r="GG156" s="27"/>
      <c r="GH156" s="27"/>
      <c r="GI156" s="27"/>
      <c r="GJ156" s="27"/>
      <c r="GK156" s="27"/>
      <c r="GL156" s="27"/>
      <c r="GM156" s="27"/>
      <c r="GN156" s="27"/>
      <c r="GO156" s="27"/>
      <c r="GP156" s="27"/>
      <c r="GQ156" s="27"/>
      <c r="GR156" s="27"/>
      <c r="GS156" s="27"/>
      <c r="GT156" s="27"/>
      <c r="GU156" s="27"/>
      <c r="GV156" s="27"/>
      <c r="GW156" s="27"/>
      <c r="GX156" s="27"/>
      <c r="GY156" s="27"/>
      <c r="GZ156" s="27"/>
      <c r="HA156" s="27"/>
      <c r="HB156" s="27"/>
      <c r="HC156" s="27"/>
      <c r="HD156" s="27"/>
      <c r="HE156" s="27"/>
      <c r="HF156" s="27"/>
      <c r="HG156" s="27"/>
      <c r="HH156" s="27"/>
      <c r="HI156" s="27"/>
      <c r="HJ156" s="27"/>
      <c r="HK156" s="27"/>
      <c r="HL156" s="27"/>
      <c r="HM156" s="27"/>
      <c r="HN156" s="27"/>
      <c r="HO156" s="27"/>
      <c r="HP156" s="27"/>
      <c r="HQ156" s="27"/>
      <c r="HR156" s="27"/>
      <c r="HS156" s="27"/>
      <c r="HT156" s="27"/>
      <c r="HU156" s="27"/>
      <c r="HV156" s="27"/>
      <c r="HW156" s="27"/>
      <c r="HX156" s="27"/>
      <c r="HY156" s="27"/>
      <c r="HZ156" s="27"/>
      <c r="IA156" s="27"/>
      <c r="IB156" s="27"/>
      <c r="IC156" s="27"/>
      <c r="ID156" s="27"/>
      <c r="IE156" s="27"/>
      <c r="IF156" s="27"/>
      <c r="IG156" s="27"/>
      <c r="IH156" s="27"/>
      <c r="II156" s="27"/>
      <c r="IJ156" s="27"/>
      <c r="IK156" s="27"/>
      <c r="IL156" s="27"/>
      <c r="IM156" s="27"/>
      <c r="IN156" s="27"/>
      <c r="IO156" s="27"/>
      <c r="IP156" s="27"/>
      <c r="IQ156" s="27"/>
      <c r="IR156" s="27"/>
      <c r="IS156" s="27"/>
      <c r="IT156" s="27"/>
      <c r="IU156" s="27"/>
      <c r="IV156" s="27"/>
      <c r="IW156" s="27"/>
      <c r="IX156" s="27"/>
      <c r="IY156" s="27"/>
      <c r="IZ156" s="27"/>
      <c r="JA156" s="27"/>
      <c r="JB156" s="27"/>
      <c r="JC156" s="27"/>
      <c r="JD156" s="28"/>
    </row>
    <row r="157" spans="9:264" ht="7.5" customHeight="1" x14ac:dyDescent="0.25">
      <c r="I157" s="26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8"/>
      <c r="CS157" s="26"/>
      <c r="CT157" s="27"/>
      <c r="CU157" s="27"/>
      <c r="CV157" s="27"/>
      <c r="CW157" s="27"/>
      <c r="CX157" s="27"/>
      <c r="CY157" s="27"/>
      <c r="CZ157" s="27"/>
      <c r="DA157" s="27"/>
      <c r="DB157" s="27"/>
      <c r="DC157" s="27"/>
      <c r="DD157" s="27"/>
      <c r="DE157" s="27"/>
      <c r="DF157" s="27"/>
      <c r="DG157" s="27"/>
      <c r="DH157" s="27"/>
      <c r="DI157" s="27"/>
      <c r="DJ157" s="27"/>
      <c r="DK157" s="27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  <c r="EJ157" s="27"/>
      <c r="EK157" s="27"/>
      <c r="EL157" s="27"/>
      <c r="EM157" s="27"/>
      <c r="EN157" s="27"/>
      <c r="EO157" s="27"/>
      <c r="EP157" s="27"/>
      <c r="EQ157" s="27"/>
      <c r="ER157" s="27"/>
      <c r="ES157" s="27"/>
      <c r="ET157" s="27"/>
      <c r="EU157" s="27"/>
      <c r="EV157" s="27"/>
      <c r="EW157" s="27"/>
      <c r="EX157" s="27"/>
      <c r="EY157" s="27"/>
      <c r="EZ157" s="27"/>
      <c r="FA157" s="27"/>
      <c r="FB157" s="27"/>
      <c r="FC157" s="27"/>
      <c r="FD157" s="27"/>
      <c r="FE157" s="27"/>
      <c r="FF157" s="27"/>
      <c r="FG157" s="27"/>
      <c r="FH157" s="27"/>
      <c r="FI157" s="27"/>
      <c r="FJ157" s="27"/>
      <c r="FK157" s="27"/>
      <c r="FL157" s="27"/>
      <c r="FM157" s="27"/>
      <c r="FN157" s="27"/>
      <c r="FO157" s="27"/>
      <c r="FP157" s="27"/>
      <c r="FQ157" s="27"/>
      <c r="FR157" s="27"/>
      <c r="FS157" s="27"/>
      <c r="FT157" s="28"/>
      <c r="GC157" s="26"/>
      <c r="GD157" s="27"/>
      <c r="GE157" s="27"/>
      <c r="GF157" s="27"/>
      <c r="GG157" s="27"/>
      <c r="GH157" s="27"/>
      <c r="GI157" s="27"/>
      <c r="GJ157" s="27"/>
      <c r="GK157" s="27"/>
      <c r="GL157" s="27"/>
      <c r="GM157" s="27"/>
      <c r="GN157" s="27"/>
      <c r="GO157" s="27"/>
      <c r="GP157" s="27"/>
      <c r="GQ157" s="27"/>
      <c r="GR157" s="27"/>
      <c r="GS157" s="27"/>
      <c r="GT157" s="27"/>
      <c r="GU157" s="27"/>
      <c r="GV157" s="27"/>
      <c r="GW157" s="27"/>
      <c r="GX157" s="27"/>
      <c r="GY157" s="27"/>
      <c r="GZ157" s="27"/>
      <c r="HA157" s="27"/>
      <c r="HB157" s="27"/>
      <c r="HC157" s="27"/>
      <c r="HD157" s="27"/>
      <c r="HE157" s="27"/>
      <c r="HF157" s="27"/>
      <c r="HG157" s="27"/>
      <c r="HH157" s="27"/>
      <c r="HI157" s="27"/>
      <c r="HJ157" s="27"/>
      <c r="HK157" s="27"/>
      <c r="HL157" s="27"/>
      <c r="HM157" s="27"/>
      <c r="HN157" s="27"/>
      <c r="HO157" s="27"/>
      <c r="HP157" s="27"/>
      <c r="HQ157" s="27"/>
      <c r="HR157" s="27"/>
      <c r="HS157" s="27"/>
      <c r="HT157" s="27"/>
      <c r="HU157" s="27"/>
      <c r="HV157" s="27"/>
      <c r="HW157" s="27"/>
      <c r="HX157" s="27"/>
      <c r="HY157" s="27"/>
      <c r="HZ157" s="27"/>
      <c r="IA157" s="27"/>
      <c r="IB157" s="27"/>
      <c r="IC157" s="27"/>
      <c r="ID157" s="27"/>
      <c r="IE157" s="27"/>
      <c r="IF157" s="27"/>
      <c r="IG157" s="27"/>
      <c r="IH157" s="27"/>
      <c r="II157" s="27"/>
      <c r="IJ157" s="27"/>
      <c r="IK157" s="27"/>
      <c r="IL157" s="27"/>
      <c r="IM157" s="27"/>
      <c r="IN157" s="27"/>
      <c r="IO157" s="27"/>
      <c r="IP157" s="27"/>
      <c r="IQ157" s="27"/>
      <c r="IR157" s="27"/>
      <c r="IS157" s="27"/>
      <c r="IT157" s="27"/>
      <c r="IU157" s="27"/>
      <c r="IV157" s="27"/>
      <c r="IW157" s="27"/>
      <c r="IX157" s="27"/>
      <c r="IY157" s="27"/>
      <c r="IZ157" s="27"/>
      <c r="JA157" s="27"/>
      <c r="JB157" s="27"/>
      <c r="JC157" s="27"/>
      <c r="JD157" s="28"/>
    </row>
    <row r="158" spans="9:264" ht="7.5" customHeight="1" x14ac:dyDescent="0.25">
      <c r="I158" s="26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27"/>
      <c r="CH158" s="27"/>
      <c r="CI158" s="27"/>
      <c r="CJ158" s="28"/>
      <c r="CS158" s="26"/>
      <c r="CT158" s="27"/>
      <c r="CU158" s="27"/>
      <c r="CV158" s="27"/>
      <c r="CW158" s="27"/>
      <c r="CX158" s="27"/>
      <c r="CY158" s="27"/>
      <c r="CZ158" s="27"/>
      <c r="DA158" s="27"/>
      <c r="DB158" s="27"/>
      <c r="DC158" s="27"/>
      <c r="DD158" s="27"/>
      <c r="DE158" s="27"/>
      <c r="DF158" s="27"/>
      <c r="DG158" s="27"/>
      <c r="DH158" s="27"/>
      <c r="DI158" s="27"/>
      <c r="DJ158" s="27"/>
      <c r="DK158" s="27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  <c r="EJ158" s="27"/>
      <c r="EK158" s="27"/>
      <c r="EL158" s="27"/>
      <c r="EM158" s="27"/>
      <c r="EN158" s="27"/>
      <c r="EO158" s="27"/>
      <c r="EP158" s="27"/>
      <c r="EQ158" s="27"/>
      <c r="ER158" s="27"/>
      <c r="ES158" s="27"/>
      <c r="ET158" s="27"/>
      <c r="EU158" s="27"/>
      <c r="EV158" s="27"/>
      <c r="EW158" s="27"/>
      <c r="EX158" s="27"/>
      <c r="EY158" s="27"/>
      <c r="EZ158" s="27"/>
      <c r="FA158" s="27"/>
      <c r="FB158" s="27"/>
      <c r="FC158" s="27"/>
      <c r="FD158" s="27"/>
      <c r="FE158" s="27"/>
      <c r="FF158" s="27"/>
      <c r="FG158" s="27"/>
      <c r="FH158" s="27"/>
      <c r="FI158" s="27"/>
      <c r="FJ158" s="27"/>
      <c r="FK158" s="27"/>
      <c r="FL158" s="27"/>
      <c r="FM158" s="27"/>
      <c r="FN158" s="27"/>
      <c r="FO158" s="27"/>
      <c r="FP158" s="27"/>
      <c r="FQ158" s="27"/>
      <c r="FR158" s="27"/>
      <c r="FS158" s="27"/>
      <c r="FT158" s="28"/>
      <c r="GC158" s="26"/>
      <c r="GD158" s="27"/>
      <c r="GE158" s="27"/>
      <c r="GF158" s="27"/>
      <c r="GG158" s="27"/>
      <c r="GH158" s="27"/>
      <c r="GI158" s="27"/>
      <c r="GJ158" s="27"/>
      <c r="GK158" s="27"/>
      <c r="GL158" s="27"/>
      <c r="GM158" s="27"/>
      <c r="GN158" s="27"/>
      <c r="GO158" s="27"/>
      <c r="GP158" s="27"/>
      <c r="GQ158" s="27"/>
      <c r="GR158" s="27"/>
      <c r="GS158" s="27"/>
      <c r="GT158" s="27"/>
      <c r="GU158" s="27"/>
      <c r="GV158" s="27"/>
      <c r="GW158" s="27"/>
      <c r="GX158" s="27"/>
      <c r="GY158" s="27"/>
      <c r="GZ158" s="27"/>
      <c r="HA158" s="27"/>
      <c r="HB158" s="27"/>
      <c r="HC158" s="27"/>
      <c r="HD158" s="27"/>
      <c r="HE158" s="27"/>
      <c r="HF158" s="27"/>
      <c r="HG158" s="27"/>
      <c r="HH158" s="27"/>
      <c r="HI158" s="27"/>
      <c r="HJ158" s="27"/>
      <c r="HK158" s="27"/>
      <c r="HL158" s="27"/>
      <c r="HM158" s="27"/>
      <c r="HN158" s="27"/>
      <c r="HO158" s="27"/>
      <c r="HP158" s="27"/>
      <c r="HQ158" s="27"/>
      <c r="HR158" s="27"/>
      <c r="HS158" s="27"/>
      <c r="HT158" s="27"/>
      <c r="HU158" s="27"/>
      <c r="HV158" s="27"/>
      <c r="HW158" s="27"/>
      <c r="HX158" s="27"/>
      <c r="HY158" s="27"/>
      <c r="HZ158" s="27"/>
      <c r="IA158" s="27"/>
      <c r="IB158" s="27"/>
      <c r="IC158" s="27"/>
      <c r="ID158" s="27"/>
      <c r="IE158" s="27"/>
      <c r="IF158" s="27"/>
      <c r="IG158" s="27"/>
      <c r="IH158" s="27"/>
      <c r="II158" s="27"/>
      <c r="IJ158" s="27"/>
      <c r="IK158" s="27"/>
      <c r="IL158" s="27"/>
      <c r="IM158" s="27"/>
      <c r="IN158" s="27"/>
      <c r="IO158" s="27"/>
      <c r="IP158" s="27"/>
      <c r="IQ158" s="27"/>
      <c r="IR158" s="27"/>
      <c r="IS158" s="27"/>
      <c r="IT158" s="27"/>
      <c r="IU158" s="27"/>
      <c r="IV158" s="27"/>
      <c r="IW158" s="27"/>
      <c r="IX158" s="27"/>
      <c r="IY158" s="27"/>
      <c r="IZ158" s="27"/>
      <c r="JA158" s="27"/>
      <c r="JB158" s="27"/>
      <c r="JC158" s="27"/>
      <c r="JD158" s="28"/>
    </row>
    <row r="159" spans="9:264" ht="7.5" customHeight="1" x14ac:dyDescent="0.25">
      <c r="I159" s="29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30"/>
      <c r="CJ159" s="31"/>
      <c r="CS159" s="26"/>
      <c r="CT159" s="27"/>
      <c r="CU159" s="27"/>
      <c r="CV159" s="27"/>
      <c r="CW159" s="27"/>
      <c r="CX159" s="27"/>
      <c r="CY159" s="27"/>
      <c r="CZ159" s="27"/>
      <c r="DA159" s="27"/>
      <c r="DB159" s="27"/>
      <c r="DC159" s="27"/>
      <c r="DD159" s="27"/>
      <c r="DE159" s="27"/>
      <c r="DF159" s="27"/>
      <c r="DG159" s="27"/>
      <c r="DH159" s="27"/>
      <c r="DI159" s="27"/>
      <c r="DJ159" s="27"/>
      <c r="DK159" s="27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V159" s="30"/>
      <c r="EW159" s="30"/>
      <c r="EX159" s="30"/>
      <c r="EY159" s="30"/>
      <c r="EZ159" s="30"/>
      <c r="FA159" s="30"/>
      <c r="FB159" s="30"/>
      <c r="FC159" s="30"/>
      <c r="FD159" s="30"/>
      <c r="FE159" s="30"/>
      <c r="FF159" s="30"/>
      <c r="FG159" s="30"/>
      <c r="FH159" s="30"/>
      <c r="FI159" s="30"/>
      <c r="FJ159" s="30"/>
      <c r="FK159" s="30"/>
      <c r="FL159" s="30"/>
      <c r="FM159" s="30"/>
      <c r="FN159" s="30"/>
      <c r="FO159" s="30"/>
      <c r="FP159" s="30"/>
      <c r="FQ159" s="30"/>
      <c r="FR159" s="30"/>
      <c r="FS159" s="30"/>
      <c r="FT159" s="31"/>
      <c r="GC159" s="29"/>
      <c r="GD159" s="30"/>
      <c r="GE159" s="30"/>
      <c r="GF159" s="30"/>
      <c r="GG159" s="30"/>
      <c r="GH159" s="30"/>
      <c r="GI159" s="30"/>
      <c r="GJ159" s="30"/>
      <c r="GK159" s="30"/>
      <c r="GL159" s="30"/>
      <c r="GM159" s="30"/>
      <c r="GN159" s="30"/>
      <c r="GO159" s="30"/>
      <c r="GP159" s="30"/>
      <c r="GQ159" s="30"/>
      <c r="GR159" s="30"/>
      <c r="GS159" s="30"/>
      <c r="GT159" s="30"/>
      <c r="GU159" s="30"/>
      <c r="GV159" s="30"/>
      <c r="GW159" s="30"/>
      <c r="GX159" s="30"/>
      <c r="GY159" s="30"/>
      <c r="GZ159" s="30"/>
      <c r="HA159" s="30"/>
      <c r="HB159" s="30"/>
      <c r="HC159" s="30"/>
      <c r="HD159" s="30"/>
      <c r="HE159" s="30"/>
      <c r="HF159" s="30"/>
      <c r="HG159" s="30"/>
      <c r="HH159" s="30"/>
      <c r="HI159" s="30"/>
      <c r="HJ159" s="30"/>
      <c r="HK159" s="30"/>
      <c r="HL159" s="30"/>
      <c r="HM159" s="30"/>
      <c r="HN159" s="30"/>
      <c r="HO159" s="30"/>
      <c r="HP159" s="30"/>
      <c r="HQ159" s="30"/>
      <c r="HR159" s="30"/>
      <c r="HS159" s="30"/>
      <c r="HT159" s="30"/>
      <c r="HU159" s="30"/>
      <c r="HV159" s="30"/>
      <c r="HW159" s="30"/>
      <c r="HX159" s="30"/>
      <c r="HY159" s="30"/>
      <c r="HZ159" s="30"/>
      <c r="IA159" s="30"/>
      <c r="IB159" s="30"/>
      <c r="IC159" s="30"/>
      <c r="ID159" s="30"/>
      <c r="IE159" s="30"/>
      <c r="IF159" s="30"/>
      <c r="IG159" s="30"/>
      <c r="IH159" s="30"/>
      <c r="II159" s="30"/>
      <c r="IJ159" s="30"/>
      <c r="IK159" s="30"/>
      <c r="IL159" s="30"/>
      <c r="IM159" s="30"/>
      <c r="IN159" s="30"/>
      <c r="IO159" s="30"/>
      <c r="IP159" s="30"/>
      <c r="IQ159" s="30"/>
      <c r="IR159" s="30"/>
      <c r="IS159" s="30"/>
      <c r="IT159" s="30"/>
      <c r="IU159" s="30"/>
      <c r="IV159" s="30"/>
      <c r="IW159" s="30"/>
      <c r="IX159" s="30"/>
      <c r="IY159" s="30"/>
      <c r="IZ159" s="30"/>
      <c r="JA159" s="30"/>
      <c r="JB159" s="30"/>
      <c r="JC159" s="30"/>
      <c r="JD159" s="31"/>
    </row>
    <row r="160" spans="9:264" ht="7.5" customHeight="1" x14ac:dyDescent="0.25">
      <c r="BG160" s="4"/>
      <c r="BH160" s="4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3"/>
    </row>
    <row r="161" spans="9:264" ht="7.5" customHeight="1" x14ac:dyDescent="0.25">
      <c r="BG161" s="4"/>
      <c r="BH161" s="4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3"/>
    </row>
    <row r="162" spans="9:264" ht="7.5" customHeight="1" x14ac:dyDescent="0.25">
      <c r="BG162" s="4"/>
      <c r="BH162" s="4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3"/>
    </row>
    <row r="163" spans="9:264" ht="7.5" customHeight="1" x14ac:dyDescent="0.25">
      <c r="BG163" s="4"/>
      <c r="BH163" s="4"/>
    </row>
    <row r="164" spans="9:264" ht="7.5" customHeight="1" x14ac:dyDescent="0.25">
      <c r="BG164" s="4"/>
      <c r="BH164" s="4"/>
    </row>
    <row r="165" spans="9:264" ht="7.5" customHeight="1" x14ac:dyDescent="0.25">
      <c r="BG165" s="4"/>
      <c r="BH165" s="4"/>
    </row>
    <row r="166" spans="9:264" ht="7.5" customHeight="1" x14ac:dyDescent="0.25">
      <c r="BG166" s="4"/>
      <c r="BH166" s="4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3"/>
    </row>
    <row r="167" spans="9:264" ht="7.5" customHeight="1" x14ac:dyDescent="0.25">
      <c r="BG167" s="4"/>
      <c r="BH167" s="5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8"/>
      <c r="GV167" s="8"/>
      <c r="GW167" s="8"/>
      <c r="GX167" s="8"/>
      <c r="GY167" s="8"/>
      <c r="GZ167" s="8"/>
      <c r="HA167" s="8"/>
      <c r="HB167" s="8"/>
      <c r="HC167" s="8"/>
      <c r="HD167" s="8"/>
      <c r="HE167" s="8"/>
      <c r="HF167" s="8"/>
      <c r="HG167" s="8"/>
      <c r="HH167" s="8"/>
      <c r="HI167" s="8"/>
      <c r="HJ167" s="8"/>
      <c r="HK167" s="8"/>
      <c r="HL167" s="8"/>
      <c r="HM167" s="8"/>
      <c r="HN167" s="8"/>
      <c r="HO167" s="8"/>
      <c r="HP167" s="9"/>
    </row>
    <row r="168" spans="9:264" ht="7.5" customHeight="1" x14ac:dyDescent="0.25">
      <c r="I168" s="23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  <c r="AR168" s="24"/>
      <c r="AS168" s="24"/>
      <c r="AT168" s="24"/>
      <c r="AU168" s="24"/>
      <c r="AV168" s="24"/>
      <c r="AW168" s="24"/>
      <c r="AX168" s="24"/>
      <c r="AY168" s="24"/>
      <c r="AZ168" s="24"/>
      <c r="BA168" s="24"/>
      <c r="BB168" s="24"/>
      <c r="BC168" s="24"/>
      <c r="BD168" s="24"/>
      <c r="BE168" s="24"/>
      <c r="BF168" s="24"/>
      <c r="BG168" s="24"/>
      <c r="BH168" s="24"/>
      <c r="BI168" s="24"/>
      <c r="BJ168" s="24"/>
      <c r="BK168" s="24"/>
      <c r="BL168" s="24"/>
      <c r="BM168" s="24"/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  <c r="CC168" s="24"/>
      <c r="CD168" s="24"/>
      <c r="CE168" s="24"/>
      <c r="CF168" s="24"/>
      <c r="CG168" s="24"/>
      <c r="CH168" s="24"/>
      <c r="CI168" s="24"/>
      <c r="CJ168" s="25"/>
      <c r="CS168" s="23"/>
      <c r="CT168" s="24"/>
      <c r="CU168" s="24"/>
      <c r="CV168" s="24"/>
      <c r="CW168" s="24"/>
      <c r="CX168" s="24"/>
      <c r="CY168" s="24"/>
      <c r="CZ168" s="24"/>
      <c r="DA168" s="24"/>
      <c r="DB168" s="24"/>
      <c r="DC168" s="24"/>
      <c r="DD168" s="24"/>
      <c r="DE168" s="24"/>
      <c r="DF168" s="24"/>
      <c r="DG168" s="24"/>
      <c r="DH168" s="24"/>
      <c r="DI168" s="24"/>
      <c r="DJ168" s="24"/>
      <c r="DK168" s="24"/>
      <c r="DL168" s="24"/>
      <c r="DM168" s="24"/>
      <c r="DN168" s="24"/>
      <c r="DO168" s="24"/>
      <c r="DP168" s="24"/>
      <c r="DQ168" s="24"/>
      <c r="DR168" s="24"/>
      <c r="DS168" s="24"/>
      <c r="DT168" s="24"/>
      <c r="DU168" s="24"/>
      <c r="DV168" s="24"/>
      <c r="DW168" s="24"/>
      <c r="DX168" s="24"/>
      <c r="DY168" s="24"/>
      <c r="DZ168" s="24"/>
      <c r="EA168" s="24"/>
      <c r="EB168" s="24"/>
      <c r="EC168" s="24"/>
      <c r="ED168" s="24"/>
      <c r="EE168" s="24"/>
      <c r="EF168" s="24"/>
      <c r="EG168" s="24"/>
      <c r="EH168" s="24"/>
      <c r="EI168" s="24"/>
      <c r="EJ168" s="24"/>
      <c r="EK168" s="24"/>
      <c r="EL168" s="24"/>
      <c r="EM168" s="24"/>
      <c r="EN168" s="24"/>
      <c r="EO168" s="24"/>
      <c r="EP168" s="24"/>
      <c r="EQ168" s="24"/>
      <c r="ER168" s="24"/>
      <c r="ES168" s="24"/>
      <c r="ET168" s="24"/>
      <c r="EU168" s="24"/>
      <c r="EV168" s="24"/>
      <c r="EW168" s="24"/>
      <c r="EX168" s="24"/>
      <c r="EY168" s="24"/>
      <c r="EZ168" s="24"/>
      <c r="FA168" s="24"/>
      <c r="FB168" s="24"/>
      <c r="FC168" s="24"/>
      <c r="FD168" s="24"/>
      <c r="FE168" s="24"/>
      <c r="FF168" s="24"/>
      <c r="FG168" s="24"/>
      <c r="FH168" s="24"/>
      <c r="FI168" s="24"/>
      <c r="FJ168" s="24"/>
      <c r="FK168" s="24"/>
      <c r="FL168" s="24"/>
      <c r="FM168" s="24"/>
      <c r="FN168" s="24"/>
      <c r="FO168" s="24"/>
      <c r="FP168" s="24"/>
      <c r="FQ168" s="24"/>
      <c r="FR168" s="24"/>
      <c r="FS168" s="24"/>
      <c r="FT168" s="25"/>
      <c r="GC168" s="23"/>
      <c r="GD168" s="24"/>
      <c r="GE168" s="24"/>
      <c r="GF168" s="24"/>
      <c r="GG168" s="24"/>
      <c r="GH168" s="24"/>
      <c r="GI168" s="24"/>
      <c r="GJ168" s="24"/>
      <c r="GK168" s="24"/>
      <c r="GL168" s="24"/>
      <c r="GM168" s="24"/>
      <c r="GN168" s="24"/>
      <c r="GO168" s="24"/>
      <c r="GP168" s="24"/>
      <c r="GQ168" s="24"/>
      <c r="GR168" s="24"/>
      <c r="GS168" s="24"/>
      <c r="GT168" s="24"/>
      <c r="GU168" s="24"/>
      <c r="GV168" s="24"/>
      <c r="GW168" s="24"/>
      <c r="GX168" s="24"/>
      <c r="GY168" s="24"/>
      <c r="GZ168" s="24"/>
      <c r="HA168" s="24"/>
      <c r="HB168" s="24"/>
      <c r="HC168" s="24"/>
      <c r="HD168" s="24"/>
      <c r="HE168" s="24"/>
      <c r="HF168" s="24"/>
      <c r="HG168" s="24"/>
      <c r="HH168" s="24"/>
      <c r="HI168" s="24"/>
      <c r="HJ168" s="24"/>
      <c r="HK168" s="24"/>
      <c r="HL168" s="24"/>
      <c r="HM168" s="24"/>
      <c r="HN168" s="24"/>
      <c r="HO168" s="24"/>
      <c r="HP168" s="24"/>
      <c r="HQ168" s="24"/>
      <c r="HR168" s="24"/>
      <c r="HS168" s="24"/>
      <c r="HT168" s="24"/>
      <c r="HU168" s="24"/>
      <c r="HV168" s="24"/>
      <c r="HW168" s="24"/>
      <c r="HX168" s="24"/>
      <c r="HY168" s="24"/>
      <c r="HZ168" s="24"/>
      <c r="IA168" s="24"/>
      <c r="IB168" s="24"/>
      <c r="IC168" s="24"/>
      <c r="ID168" s="24"/>
      <c r="IE168" s="24"/>
      <c r="IF168" s="24"/>
      <c r="IG168" s="24"/>
      <c r="IH168" s="24"/>
      <c r="II168" s="24"/>
      <c r="IJ168" s="24"/>
      <c r="IK168" s="24"/>
      <c r="IL168" s="24"/>
      <c r="IM168" s="24"/>
      <c r="IN168" s="24"/>
      <c r="IO168" s="24"/>
      <c r="IP168" s="24"/>
      <c r="IQ168" s="24"/>
      <c r="IR168" s="24"/>
      <c r="IS168" s="24"/>
      <c r="IT168" s="24"/>
      <c r="IU168" s="24"/>
      <c r="IV168" s="24"/>
      <c r="IW168" s="24"/>
      <c r="IX168" s="24"/>
      <c r="IY168" s="24"/>
      <c r="IZ168" s="24"/>
      <c r="JA168" s="24"/>
      <c r="JB168" s="24"/>
      <c r="JC168" s="24"/>
      <c r="JD168" s="25"/>
    </row>
    <row r="169" spans="9:264" ht="7.5" customHeight="1" x14ac:dyDescent="0.25">
      <c r="I169" s="26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27"/>
      <c r="CH169" s="27"/>
      <c r="CI169" s="27"/>
      <c r="CJ169" s="28"/>
      <c r="CS169" s="26"/>
      <c r="CT169" s="27"/>
      <c r="CU169" s="27"/>
      <c r="CV169" s="27"/>
      <c r="CW169" s="27"/>
      <c r="CX169" s="27"/>
      <c r="CY169" s="27"/>
      <c r="CZ169" s="27"/>
      <c r="DA169" s="27"/>
      <c r="DB169" s="27"/>
      <c r="DC169" s="27"/>
      <c r="DD169" s="27"/>
      <c r="DE169" s="27"/>
      <c r="DF169" s="27"/>
      <c r="DG169" s="27"/>
      <c r="DH169" s="27"/>
      <c r="DI169" s="27"/>
      <c r="DJ169" s="27"/>
      <c r="DK169" s="27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  <c r="EJ169" s="27"/>
      <c r="EK169" s="27"/>
      <c r="EL169" s="27"/>
      <c r="EM169" s="27"/>
      <c r="EN169" s="27"/>
      <c r="EO169" s="27"/>
      <c r="EP169" s="27"/>
      <c r="EQ169" s="27"/>
      <c r="ER169" s="27"/>
      <c r="ES169" s="27"/>
      <c r="ET169" s="27"/>
      <c r="EU169" s="27"/>
      <c r="EV169" s="27"/>
      <c r="EW169" s="27"/>
      <c r="EX169" s="27"/>
      <c r="EY169" s="27"/>
      <c r="EZ169" s="27"/>
      <c r="FA169" s="27"/>
      <c r="FB169" s="27"/>
      <c r="FC169" s="27"/>
      <c r="FD169" s="27"/>
      <c r="FE169" s="27"/>
      <c r="FF169" s="27"/>
      <c r="FG169" s="27"/>
      <c r="FH169" s="27"/>
      <c r="FI169" s="27"/>
      <c r="FJ169" s="27"/>
      <c r="FK169" s="27"/>
      <c r="FL169" s="27"/>
      <c r="FM169" s="27"/>
      <c r="FN169" s="27"/>
      <c r="FO169" s="27"/>
      <c r="FP169" s="27"/>
      <c r="FQ169" s="27"/>
      <c r="FR169" s="27"/>
      <c r="FS169" s="27"/>
      <c r="FT169" s="28"/>
      <c r="GC169" s="26"/>
      <c r="GD169" s="27"/>
      <c r="GE169" s="27"/>
      <c r="GF169" s="27"/>
      <c r="GG169" s="27"/>
      <c r="GH169" s="27"/>
      <c r="GI169" s="27"/>
      <c r="GJ169" s="27"/>
      <c r="GK169" s="27"/>
      <c r="GL169" s="27"/>
      <c r="GM169" s="27"/>
      <c r="GN169" s="27"/>
      <c r="GO169" s="27"/>
      <c r="GP169" s="27"/>
      <c r="GQ169" s="27"/>
      <c r="GR169" s="27"/>
      <c r="GS169" s="27"/>
      <c r="GT169" s="27"/>
      <c r="GU169" s="27"/>
      <c r="GV169" s="27"/>
      <c r="GW169" s="27"/>
      <c r="GX169" s="27"/>
      <c r="GY169" s="27"/>
      <c r="GZ169" s="27"/>
      <c r="HA169" s="27"/>
      <c r="HB169" s="27"/>
      <c r="HC169" s="27"/>
      <c r="HD169" s="27"/>
      <c r="HE169" s="27"/>
      <c r="HF169" s="27"/>
      <c r="HG169" s="27"/>
      <c r="HH169" s="27"/>
      <c r="HI169" s="27"/>
      <c r="HJ169" s="27"/>
      <c r="HK169" s="27"/>
      <c r="HL169" s="27"/>
      <c r="HM169" s="27"/>
      <c r="HN169" s="27"/>
      <c r="HO169" s="27"/>
      <c r="HP169" s="27"/>
      <c r="HQ169" s="27"/>
      <c r="HR169" s="27"/>
      <c r="HS169" s="27"/>
      <c r="HT169" s="27"/>
      <c r="HU169" s="27"/>
      <c r="HV169" s="27"/>
      <c r="HW169" s="27"/>
      <c r="HX169" s="27"/>
      <c r="HY169" s="27"/>
      <c r="HZ169" s="27"/>
      <c r="IA169" s="27"/>
      <c r="IB169" s="27"/>
      <c r="IC169" s="27"/>
      <c r="ID169" s="27"/>
      <c r="IE169" s="27"/>
      <c r="IF169" s="27"/>
      <c r="IG169" s="27"/>
      <c r="IH169" s="27"/>
      <c r="II169" s="27"/>
      <c r="IJ169" s="27"/>
      <c r="IK169" s="27"/>
      <c r="IL169" s="27"/>
      <c r="IM169" s="27"/>
      <c r="IN169" s="27"/>
      <c r="IO169" s="27"/>
      <c r="IP169" s="27"/>
      <c r="IQ169" s="27"/>
      <c r="IR169" s="27"/>
      <c r="IS169" s="27"/>
      <c r="IT169" s="27"/>
      <c r="IU169" s="27"/>
      <c r="IV169" s="27"/>
      <c r="IW169" s="27"/>
      <c r="IX169" s="27"/>
      <c r="IY169" s="27"/>
      <c r="IZ169" s="27"/>
      <c r="JA169" s="27"/>
      <c r="JB169" s="27"/>
      <c r="JC169" s="27"/>
      <c r="JD169" s="28"/>
    </row>
    <row r="170" spans="9:264" ht="7.5" customHeight="1" x14ac:dyDescent="0.25">
      <c r="I170" s="26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27"/>
      <c r="CH170" s="27"/>
      <c r="CI170" s="27"/>
      <c r="CJ170" s="28"/>
      <c r="CS170" s="26"/>
      <c r="CT170" s="27"/>
      <c r="CU170" s="27"/>
      <c r="CV170" s="27"/>
      <c r="CW170" s="27"/>
      <c r="CX170" s="27"/>
      <c r="CY170" s="27"/>
      <c r="CZ170" s="27"/>
      <c r="DA170" s="27"/>
      <c r="DB170" s="27"/>
      <c r="DC170" s="27"/>
      <c r="DD170" s="27"/>
      <c r="DE170" s="27"/>
      <c r="DF170" s="27"/>
      <c r="DG170" s="27"/>
      <c r="DH170" s="27"/>
      <c r="DI170" s="27"/>
      <c r="DJ170" s="27"/>
      <c r="DK170" s="27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  <c r="EJ170" s="27"/>
      <c r="EK170" s="27"/>
      <c r="EL170" s="27"/>
      <c r="EM170" s="27"/>
      <c r="EN170" s="27"/>
      <c r="EO170" s="27"/>
      <c r="EP170" s="27"/>
      <c r="EQ170" s="27"/>
      <c r="ER170" s="27"/>
      <c r="ES170" s="27"/>
      <c r="ET170" s="27"/>
      <c r="EU170" s="27"/>
      <c r="EV170" s="27"/>
      <c r="EW170" s="27"/>
      <c r="EX170" s="27"/>
      <c r="EY170" s="27"/>
      <c r="EZ170" s="27"/>
      <c r="FA170" s="27"/>
      <c r="FB170" s="27"/>
      <c r="FC170" s="27"/>
      <c r="FD170" s="27"/>
      <c r="FE170" s="27"/>
      <c r="FF170" s="27"/>
      <c r="FG170" s="27"/>
      <c r="FH170" s="27"/>
      <c r="FI170" s="27"/>
      <c r="FJ170" s="27"/>
      <c r="FK170" s="27"/>
      <c r="FL170" s="27"/>
      <c r="FM170" s="27"/>
      <c r="FN170" s="27"/>
      <c r="FO170" s="27"/>
      <c r="FP170" s="27"/>
      <c r="FQ170" s="27"/>
      <c r="FR170" s="27"/>
      <c r="FS170" s="27"/>
      <c r="FT170" s="28"/>
      <c r="GC170" s="26"/>
      <c r="GD170" s="27"/>
      <c r="GE170" s="27"/>
      <c r="GF170" s="27"/>
      <c r="GG170" s="27"/>
      <c r="GH170" s="27"/>
      <c r="GI170" s="27"/>
      <c r="GJ170" s="27"/>
      <c r="GK170" s="27"/>
      <c r="GL170" s="27"/>
      <c r="GM170" s="27"/>
      <c r="GN170" s="27"/>
      <c r="GO170" s="27"/>
      <c r="GP170" s="27"/>
      <c r="GQ170" s="27"/>
      <c r="GR170" s="27"/>
      <c r="GS170" s="27"/>
      <c r="GT170" s="27"/>
      <c r="GU170" s="27"/>
      <c r="GV170" s="27"/>
      <c r="GW170" s="27"/>
      <c r="GX170" s="27"/>
      <c r="GY170" s="27"/>
      <c r="GZ170" s="27"/>
      <c r="HA170" s="27"/>
      <c r="HB170" s="27"/>
      <c r="HC170" s="27"/>
      <c r="HD170" s="27"/>
      <c r="HE170" s="27"/>
      <c r="HF170" s="27"/>
      <c r="HG170" s="27"/>
      <c r="HH170" s="27"/>
      <c r="HI170" s="27"/>
      <c r="HJ170" s="27"/>
      <c r="HK170" s="27"/>
      <c r="HL170" s="27"/>
      <c r="HM170" s="27"/>
      <c r="HN170" s="27"/>
      <c r="HO170" s="27"/>
      <c r="HP170" s="27"/>
      <c r="HQ170" s="27"/>
      <c r="HR170" s="27"/>
      <c r="HS170" s="27"/>
      <c r="HT170" s="27"/>
      <c r="HU170" s="27"/>
      <c r="HV170" s="27"/>
      <c r="HW170" s="27"/>
      <c r="HX170" s="27"/>
      <c r="HY170" s="27"/>
      <c r="HZ170" s="27"/>
      <c r="IA170" s="27"/>
      <c r="IB170" s="27"/>
      <c r="IC170" s="27"/>
      <c r="ID170" s="27"/>
      <c r="IE170" s="27"/>
      <c r="IF170" s="27"/>
      <c r="IG170" s="27"/>
      <c r="IH170" s="27"/>
      <c r="II170" s="27"/>
      <c r="IJ170" s="27"/>
      <c r="IK170" s="27"/>
      <c r="IL170" s="27"/>
      <c r="IM170" s="27"/>
      <c r="IN170" s="27"/>
      <c r="IO170" s="27"/>
      <c r="IP170" s="27"/>
      <c r="IQ170" s="27"/>
      <c r="IR170" s="27"/>
      <c r="IS170" s="27"/>
      <c r="IT170" s="27"/>
      <c r="IU170" s="27"/>
      <c r="IV170" s="27"/>
      <c r="IW170" s="27"/>
      <c r="IX170" s="27"/>
      <c r="IY170" s="27"/>
      <c r="IZ170" s="27"/>
      <c r="JA170" s="27"/>
      <c r="JB170" s="27"/>
      <c r="JC170" s="27"/>
      <c r="JD170" s="28"/>
    </row>
    <row r="171" spans="9:264" ht="7.5" customHeight="1" x14ac:dyDescent="0.25">
      <c r="I171" s="26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27"/>
      <c r="CH171" s="27"/>
      <c r="CI171" s="27"/>
      <c r="CJ171" s="28"/>
      <c r="CS171" s="26"/>
      <c r="CT171" s="27"/>
      <c r="CU171" s="27"/>
      <c r="CV171" s="27"/>
      <c r="CW171" s="27"/>
      <c r="CX171" s="27"/>
      <c r="CY171" s="27"/>
      <c r="CZ171" s="27"/>
      <c r="DA171" s="27"/>
      <c r="DB171" s="27"/>
      <c r="DC171" s="27"/>
      <c r="DD171" s="27"/>
      <c r="DE171" s="27"/>
      <c r="DF171" s="27"/>
      <c r="DG171" s="27"/>
      <c r="DH171" s="27"/>
      <c r="DI171" s="27"/>
      <c r="DJ171" s="27"/>
      <c r="DK171" s="27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  <c r="EJ171" s="27"/>
      <c r="EK171" s="27"/>
      <c r="EL171" s="27"/>
      <c r="EM171" s="27"/>
      <c r="EN171" s="27"/>
      <c r="EO171" s="27"/>
      <c r="EP171" s="27"/>
      <c r="EQ171" s="27"/>
      <c r="ER171" s="27"/>
      <c r="ES171" s="27"/>
      <c r="ET171" s="27"/>
      <c r="EU171" s="27"/>
      <c r="EV171" s="27"/>
      <c r="EW171" s="27"/>
      <c r="EX171" s="27"/>
      <c r="EY171" s="27"/>
      <c r="EZ171" s="27"/>
      <c r="FA171" s="27"/>
      <c r="FB171" s="27"/>
      <c r="FC171" s="27"/>
      <c r="FD171" s="27"/>
      <c r="FE171" s="27"/>
      <c r="FF171" s="27"/>
      <c r="FG171" s="27"/>
      <c r="FH171" s="27"/>
      <c r="FI171" s="27"/>
      <c r="FJ171" s="27"/>
      <c r="FK171" s="27"/>
      <c r="FL171" s="27"/>
      <c r="FM171" s="27"/>
      <c r="FN171" s="27"/>
      <c r="FO171" s="27"/>
      <c r="FP171" s="27"/>
      <c r="FQ171" s="27"/>
      <c r="FR171" s="27"/>
      <c r="FS171" s="27"/>
      <c r="FT171" s="28"/>
      <c r="GC171" s="26"/>
      <c r="GD171" s="27"/>
      <c r="GE171" s="27"/>
      <c r="GF171" s="27"/>
      <c r="GG171" s="27"/>
      <c r="GH171" s="27"/>
      <c r="GI171" s="27"/>
      <c r="GJ171" s="27"/>
      <c r="GK171" s="27"/>
      <c r="GL171" s="27"/>
      <c r="GM171" s="27"/>
      <c r="GN171" s="27"/>
      <c r="GO171" s="27"/>
      <c r="GP171" s="27"/>
      <c r="GQ171" s="27"/>
      <c r="GR171" s="27"/>
      <c r="GS171" s="27"/>
      <c r="GT171" s="27"/>
      <c r="GU171" s="27"/>
      <c r="GV171" s="27"/>
      <c r="GW171" s="27"/>
      <c r="GX171" s="27"/>
      <c r="GY171" s="27"/>
      <c r="GZ171" s="27"/>
      <c r="HA171" s="27"/>
      <c r="HB171" s="27"/>
      <c r="HC171" s="27"/>
      <c r="HD171" s="27"/>
      <c r="HE171" s="27"/>
      <c r="HF171" s="27"/>
      <c r="HG171" s="27"/>
      <c r="HH171" s="27"/>
      <c r="HI171" s="27"/>
      <c r="HJ171" s="27"/>
      <c r="HK171" s="27"/>
      <c r="HL171" s="27"/>
      <c r="HM171" s="27"/>
      <c r="HN171" s="27"/>
      <c r="HO171" s="27"/>
      <c r="HP171" s="27"/>
      <c r="HQ171" s="27"/>
      <c r="HR171" s="27"/>
      <c r="HS171" s="27"/>
      <c r="HT171" s="27"/>
      <c r="HU171" s="27"/>
      <c r="HV171" s="27"/>
      <c r="HW171" s="27"/>
      <c r="HX171" s="27"/>
      <c r="HY171" s="27"/>
      <c r="HZ171" s="27"/>
      <c r="IA171" s="27"/>
      <c r="IB171" s="27"/>
      <c r="IC171" s="27"/>
      <c r="ID171" s="27"/>
      <c r="IE171" s="27"/>
      <c r="IF171" s="27"/>
      <c r="IG171" s="27"/>
      <c r="IH171" s="27"/>
      <c r="II171" s="27"/>
      <c r="IJ171" s="27"/>
      <c r="IK171" s="27"/>
      <c r="IL171" s="27"/>
      <c r="IM171" s="27"/>
      <c r="IN171" s="27"/>
      <c r="IO171" s="27"/>
      <c r="IP171" s="27"/>
      <c r="IQ171" s="27"/>
      <c r="IR171" s="27"/>
      <c r="IS171" s="27"/>
      <c r="IT171" s="27"/>
      <c r="IU171" s="27"/>
      <c r="IV171" s="27"/>
      <c r="IW171" s="27"/>
      <c r="IX171" s="27"/>
      <c r="IY171" s="27"/>
      <c r="IZ171" s="27"/>
      <c r="JA171" s="27"/>
      <c r="JB171" s="27"/>
      <c r="JC171" s="27"/>
      <c r="JD171" s="28"/>
    </row>
    <row r="172" spans="9:264" ht="7.5" customHeight="1" x14ac:dyDescent="0.25">
      <c r="I172" s="26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27"/>
      <c r="CH172" s="27"/>
      <c r="CI172" s="27"/>
      <c r="CJ172" s="28"/>
      <c r="CS172" s="26"/>
      <c r="CT172" s="27"/>
      <c r="CU172" s="27"/>
      <c r="CV172" s="27"/>
      <c r="CW172" s="27"/>
      <c r="CX172" s="27"/>
      <c r="CY172" s="27"/>
      <c r="CZ172" s="27"/>
      <c r="DA172" s="27"/>
      <c r="DB172" s="27"/>
      <c r="DC172" s="27"/>
      <c r="DD172" s="27"/>
      <c r="DE172" s="27"/>
      <c r="DF172" s="27"/>
      <c r="DG172" s="27"/>
      <c r="DH172" s="27"/>
      <c r="DI172" s="27"/>
      <c r="DJ172" s="27"/>
      <c r="DK172" s="27"/>
      <c r="DL172" s="27"/>
      <c r="DM172" s="27"/>
      <c r="DN172" s="27"/>
      <c r="DO172" s="27"/>
      <c r="DP172" s="27"/>
      <c r="DQ172" s="27"/>
      <c r="DR172" s="27"/>
      <c r="DS172" s="27"/>
      <c r="DT172" s="27"/>
      <c r="DU172" s="27"/>
      <c r="DV172" s="27"/>
      <c r="DW172" s="27"/>
      <c r="DX172" s="27"/>
      <c r="DY172" s="27"/>
      <c r="DZ172" s="27"/>
      <c r="EA172" s="27"/>
      <c r="EB172" s="27"/>
      <c r="EC172" s="27"/>
      <c r="ED172" s="27"/>
      <c r="EE172" s="27"/>
      <c r="EF172" s="27"/>
      <c r="EG172" s="27"/>
      <c r="EH172" s="27"/>
      <c r="EI172" s="27"/>
      <c r="EJ172" s="27"/>
      <c r="EK172" s="27"/>
      <c r="EL172" s="27"/>
      <c r="EM172" s="27"/>
      <c r="EN172" s="27"/>
      <c r="EO172" s="27"/>
      <c r="EP172" s="27"/>
      <c r="EQ172" s="27"/>
      <c r="ER172" s="27"/>
      <c r="ES172" s="27"/>
      <c r="ET172" s="27"/>
      <c r="EU172" s="27"/>
      <c r="EV172" s="27"/>
      <c r="EW172" s="27"/>
      <c r="EX172" s="27"/>
      <c r="EY172" s="27"/>
      <c r="EZ172" s="27"/>
      <c r="FA172" s="27"/>
      <c r="FB172" s="27"/>
      <c r="FC172" s="27"/>
      <c r="FD172" s="27"/>
      <c r="FE172" s="27"/>
      <c r="FF172" s="27"/>
      <c r="FG172" s="27"/>
      <c r="FH172" s="27"/>
      <c r="FI172" s="27"/>
      <c r="FJ172" s="27"/>
      <c r="FK172" s="27"/>
      <c r="FL172" s="27"/>
      <c r="FM172" s="27"/>
      <c r="FN172" s="27"/>
      <c r="FO172" s="27"/>
      <c r="FP172" s="27"/>
      <c r="FQ172" s="27"/>
      <c r="FR172" s="27"/>
      <c r="FS172" s="27"/>
      <c r="FT172" s="28"/>
      <c r="GC172" s="26"/>
      <c r="GD172" s="27"/>
      <c r="GE172" s="27"/>
      <c r="GF172" s="27"/>
      <c r="GG172" s="27"/>
      <c r="GH172" s="27"/>
      <c r="GI172" s="27"/>
      <c r="GJ172" s="27"/>
      <c r="GK172" s="27"/>
      <c r="GL172" s="27"/>
      <c r="GM172" s="27"/>
      <c r="GN172" s="27"/>
      <c r="GO172" s="27"/>
      <c r="GP172" s="27"/>
      <c r="GQ172" s="27"/>
      <c r="GR172" s="27"/>
      <c r="GS172" s="27"/>
      <c r="GT172" s="27"/>
      <c r="GU172" s="27"/>
      <c r="GV172" s="27"/>
      <c r="GW172" s="27"/>
      <c r="GX172" s="27"/>
      <c r="GY172" s="27"/>
      <c r="GZ172" s="27"/>
      <c r="HA172" s="27"/>
      <c r="HB172" s="27"/>
      <c r="HC172" s="27"/>
      <c r="HD172" s="27"/>
      <c r="HE172" s="27"/>
      <c r="HF172" s="27"/>
      <c r="HG172" s="27"/>
      <c r="HH172" s="27"/>
      <c r="HI172" s="27"/>
      <c r="HJ172" s="27"/>
      <c r="HK172" s="27"/>
      <c r="HL172" s="27"/>
      <c r="HM172" s="27"/>
      <c r="HN172" s="27"/>
      <c r="HO172" s="27"/>
      <c r="HP172" s="27"/>
      <c r="HQ172" s="27"/>
      <c r="HR172" s="27"/>
      <c r="HS172" s="27"/>
      <c r="HT172" s="27"/>
      <c r="HU172" s="27"/>
      <c r="HV172" s="27"/>
      <c r="HW172" s="27"/>
      <c r="HX172" s="27"/>
      <c r="HY172" s="27"/>
      <c r="HZ172" s="27"/>
      <c r="IA172" s="27"/>
      <c r="IB172" s="27"/>
      <c r="IC172" s="27"/>
      <c r="ID172" s="27"/>
      <c r="IE172" s="27"/>
      <c r="IF172" s="27"/>
      <c r="IG172" s="27"/>
      <c r="IH172" s="27"/>
      <c r="II172" s="27"/>
      <c r="IJ172" s="27"/>
      <c r="IK172" s="27"/>
      <c r="IL172" s="27"/>
      <c r="IM172" s="27"/>
      <c r="IN172" s="27"/>
      <c r="IO172" s="27"/>
      <c r="IP172" s="27"/>
      <c r="IQ172" s="27"/>
      <c r="IR172" s="27"/>
      <c r="IS172" s="27"/>
      <c r="IT172" s="27"/>
      <c r="IU172" s="27"/>
      <c r="IV172" s="27"/>
      <c r="IW172" s="27"/>
      <c r="IX172" s="27"/>
      <c r="IY172" s="27"/>
      <c r="IZ172" s="27"/>
      <c r="JA172" s="27"/>
      <c r="JB172" s="27"/>
      <c r="JC172" s="27"/>
      <c r="JD172" s="28"/>
    </row>
    <row r="173" spans="9:264" ht="7.5" customHeight="1" x14ac:dyDescent="0.25">
      <c r="I173" s="26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27"/>
      <c r="CH173" s="27"/>
      <c r="CI173" s="27"/>
      <c r="CJ173" s="28"/>
      <c r="CS173" s="26"/>
      <c r="CT173" s="27"/>
      <c r="CU173" s="27"/>
      <c r="CV173" s="27"/>
      <c r="CW173" s="27"/>
      <c r="CX173" s="27"/>
      <c r="CY173" s="27"/>
      <c r="CZ173" s="27"/>
      <c r="DA173" s="27"/>
      <c r="DB173" s="27"/>
      <c r="DC173" s="27"/>
      <c r="DD173" s="27"/>
      <c r="DE173" s="27"/>
      <c r="DF173" s="27"/>
      <c r="DG173" s="27"/>
      <c r="DH173" s="27"/>
      <c r="DI173" s="27"/>
      <c r="DJ173" s="27"/>
      <c r="DK173" s="27"/>
      <c r="DL173" s="27"/>
      <c r="DM173" s="27"/>
      <c r="DN173" s="27"/>
      <c r="DO173" s="27"/>
      <c r="DP173" s="27"/>
      <c r="DQ173" s="27"/>
      <c r="DR173" s="27"/>
      <c r="DS173" s="27"/>
      <c r="DT173" s="27"/>
      <c r="DU173" s="27"/>
      <c r="DV173" s="27"/>
      <c r="DW173" s="27"/>
      <c r="DX173" s="27"/>
      <c r="DY173" s="27"/>
      <c r="DZ173" s="27"/>
      <c r="EA173" s="27"/>
      <c r="EB173" s="27"/>
      <c r="EC173" s="27"/>
      <c r="ED173" s="27"/>
      <c r="EE173" s="27"/>
      <c r="EF173" s="27"/>
      <c r="EG173" s="27"/>
      <c r="EH173" s="27"/>
      <c r="EI173" s="27"/>
      <c r="EJ173" s="27"/>
      <c r="EK173" s="27"/>
      <c r="EL173" s="27"/>
      <c r="EM173" s="27"/>
      <c r="EN173" s="27"/>
      <c r="EO173" s="27"/>
      <c r="EP173" s="27"/>
      <c r="EQ173" s="27"/>
      <c r="ER173" s="27"/>
      <c r="ES173" s="27"/>
      <c r="ET173" s="27"/>
      <c r="EU173" s="27"/>
      <c r="EV173" s="27"/>
      <c r="EW173" s="27"/>
      <c r="EX173" s="27"/>
      <c r="EY173" s="27"/>
      <c r="EZ173" s="27"/>
      <c r="FA173" s="27"/>
      <c r="FB173" s="27"/>
      <c r="FC173" s="27"/>
      <c r="FD173" s="27"/>
      <c r="FE173" s="27"/>
      <c r="FF173" s="27"/>
      <c r="FG173" s="27"/>
      <c r="FH173" s="27"/>
      <c r="FI173" s="27"/>
      <c r="FJ173" s="27"/>
      <c r="FK173" s="27"/>
      <c r="FL173" s="27"/>
      <c r="FM173" s="27"/>
      <c r="FN173" s="27"/>
      <c r="FO173" s="27"/>
      <c r="FP173" s="27"/>
      <c r="FQ173" s="27"/>
      <c r="FR173" s="27"/>
      <c r="FS173" s="27"/>
      <c r="FT173" s="28"/>
      <c r="GC173" s="26"/>
      <c r="GD173" s="27"/>
      <c r="GE173" s="27"/>
      <c r="GF173" s="27"/>
      <c r="GG173" s="27"/>
      <c r="GH173" s="27"/>
      <c r="GI173" s="27"/>
      <c r="GJ173" s="27"/>
      <c r="GK173" s="27"/>
      <c r="GL173" s="27"/>
      <c r="GM173" s="27"/>
      <c r="GN173" s="27"/>
      <c r="GO173" s="27"/>
      <c r="GP173" s="27"/>
      <c r="GQ173" s="27"/>
      <c r="GR173" s="27"/>
      <c r="GS173" s="27"/>
      <c r="GT173" s="27"/>
      <c r="GU173" s="27"/>
      <c r="GV173" s="27"/>
      <c r="GW173" s="27"/>
      <c r="GX173" s="27"/>
      <c r="GY173" s="27"/>
      <c r="GZ173" s="27"/>
      <c r="HA173" s="27"/>
      <c r="HB173" s="27"/>
      <c r="HC173" s="27"/>
      <c r="HD173" s="27"/>
      <c r="HE173" s="27"/>
      <c r="HF173" s="27"/>
      <c r="HG173" s="27"/>
      <c r="HH173" s="27"/>
      <c r="HI173" s="27"/>
      <c r="HJ173" s="27"/>
      <c r="HK173" s="27"/>
      <c r="HL173" s="27"/>
      <c r="HM173" s="27"/>
      <c r="HN173" s="27"/>
      <c r="HO173" s="27"/>
      <c r="HP173" s="27"/>
      <c r="HQ173" s="27"/>
      <c r="HR173" s="27"/>
      <c r="HS173" s="27"/>
      <c r="HT173" s="27"/>
      <c r="HU173" s="27"/>
      <c r="HV173" s="27"/>
      <c r="HW173" s="27"/>
      <c r="HX173" s="27"/>
      <c r="HY173" s="27"/>
      <c r="HZ173" s="27"/>
      <c r="IA173" s="27"/>
      <c r="IB173" s="27"/>
      <c r="IC173" s="27"/>
      <c r="ID173" s="27"/>
      <c r="IE173" s="27"/>
      <c r="IF173" s="27"/>
      <c r="IG173" s="27"/>
      <c r="IH173" s="27"/>
      <c r="II173" s="27"/>
      <c r="IJ173" s="27"/>
      <c r="IK173" s="27"/>
      <c r="IL173" s="27"/>
      <c r="IM173" s="27"/>
      <c r="IN173" s="27"/>
      <c r="IO173" s="27"/>
      <c r="IP173" s="27"/>
      <c r="IQ173" s="27"/>
      <c r="IR173" s="27"/>
      <c r="IS173" s="27"/>
      <c r="IT173" s="27"/>
      <c r="IU173" s="27"/>
      <c r="IV173" s="27"/>
      <c r="IW173" s="27"/>
      <c r="IX173" s="27"/>
      <c r="IY173" s="27"/>
      <c r="IZ173" s="27"/>
      <c r="JA173" s="27"/>
      <c r="JB173" s="27"/>
      <c r="JC173" s="27"/>
      <c r="JD173" s="28"/>
    </row>
    <row r="174" spans="9:264" ht="7.5" customHeight="1" x14ac:dyDescent="0.25">
      <c r="I174" s="26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27"/>
      <c r="CH174" s="27"/>
      <c r="CI174" s="27"/>
      <c r="CJ174" s="28"/>
      <c r="CS174" s="26"/>
      <c r="CT174" s="27"/>
      <c r="CU174" s="27"/>
      <c r="CV174" s="27"/>
      <c r="CW174" s="27"/>
      <c r="CX174" s="27"/>
      <c r="CY174" s="27"/>
      <c r="CZ174" s="27"/>
      <c r="DA174" s="27"/>
      <c r="DB174" s="27"/>
      <c r="DC174" s="27"/>
      <c r="DD174" s="27"/>
      <c r="DE174" s="27"/>
      <c r="DF174" s="27"/>
      <c r="DG174" s="27"/>
      <c r="DH174" s="27"/>
      <c r="DI174" s="27"/>
      <c r="DJ174" s="27"/>
      <c r="DK174" s="27"/>
      <c r="DL174" s="27"/>
      <c r="DM174" s="27"/>
      <c r="DN174" s="27"/>
      <c r="DO174" s="27"/>
      <c r="DP174" s="27"/>
      <c r="DQ174" s="27"/>
      <c r="DR174" s="27"/>
      <c r="DS174" s="27"/>
      <c r="DT174" s="27"/>
      <c r="DU174" s="27"/>
      <c r="DV174" s="27"/>
      <c r="DW174" s="27"/>
      <c r="DX174" s="27"/>
      <c r="DY174" s="27"/>
      <c r="DZ174" s="27"/>
      <c r="EA174" s="27"/>
      <c r="EB174" s="27"/>
      <c r="EC174" s="27"/>
      <c r="ED174" s="27"/>
      <c r="EE174" s="27"/>
      <c r="EF174" s="27"/>
      <c r="EG174" s="27"/>
      <c r="EH174" s="27"/>
      <c r="EI174" s="27"/>
      <c r="EJ174" s="27"/>
      <c r="EK174" s="27"/>
      <c r="EL174" s="27"/>
      <c r="EM174" s="27"/>
      <c r="EN174" s="27"/>
      <c r="EO174" s="27"/>
      <c r="EP174" s="27"/>
      <c r="EQ174" s="27"/>
      <c r="ER174" s="27"/>
      <c r="ES174" s="27"/>
      <c r="ET174" s="27"/>
      <c r="EU174" s="27"/>
      <c r="EV174" s="27"/>
      <c r="EW174" s="27"/>
      <c r="EX174" s="27"/>
      <c r="EY174" s="27"/>
      <c r="EZ174" s="27"/>
      <c r="FA174" s="27"/>
      <c r="FB174" s="27"/>
      <c r="FC174" s="27"/>
      <c r="FD174" s="27"/>
      <c r="FE174" s="27"/>
      <c r="FF174" s="27"/>
      <c r="FG174" s="27"/>
      <c r="FH174" s="27"/>
      <c r="FI174" s="27"/>
      <c r="FJ174" s="27"/>
      <c r="FK174" s="27"/>
      <c r="FL174" s="27"/>
      <c r="FM174" s="27"/>
      <c r="FN174" s="27"/>
      <c r="FO174" s="27"/>
      <c r="FP174" s="27"/>
      <c r="FQ174" s="27"/>
      <c r="FR174" s="27"/>
      <c r="FS174" s="27"/>
      <c r="FT174" s="28"/>
      <c r="GC174" s="26"/>
      <c r="GD174" s="27"/>
      <c r="GE174" s="27"/>
      <c r="GF174" s="27"/>
      <c r="GG174" s="27"/>
      <c r="GH174" s="27"/>
      <c r="GI174" s="27"/>
      <c r="GJ174" s="27"/>
      <c r="GK174" s="27"/>
      <c r="GL174" s="27"/>
      <c r="GM174" s="27"/>
      <c r="GN174" s="27"/>
      <c r="GO174" s="27"/>
      <c r="GP174" s="27"/>
      <c r="GQ174" s="27"/>
      <c r="GR174" s="27"/>
      <c r="GS174" s="27"/>
      <c r="GT174" s="27"/>
      <c r="GU174" s="27"/>
      <c r="GV174" s="27"/>
      <c r="GW174" s="27"/>
      <c r="GX174" s="27"/>
      <c r="GY174" s="27"/>
      <c r="GZ174" s="27"/>
      <c r="HA174" s="27"/>
      <c r="HB174" s="27"/>
      <c r="HC174" s="27"/>
      <c r="HD174" s="27"/>
      <c r="HE174" s="27"/>
      <c r="HF174" s="27"/>
      <c r="HG174" s="27"/>
      <c r="HH174" s="27"/>
      <c r="HI174" s="27"/>
      <c r="HJ174" s="27"/>
      <c r="HK174" s="27"/>
      <c r="HL174" s="27"/>
      <c r="HM174" s="27"/>
      <c r="HN174" s="27"/>
      <c r="HO174" s="27"/>
      <c r="HP174" s="27"/>
      <c r="HQ174" s="27"/>
      <c r="HR174" s="27"/>
      <c r="HS174" s="27"/>
      <c r="HT174" s="27"/>
      <c r="HU174" s="27"/>
      <c r="HV174" s="27"/>
      <c r="HW174" s="27"/>
      <c r="HX174" s="27"/>
      <c r="HY174" s="27"/>
      <c r="HZ174" s="27"/>
      <c r="IA174" s="27"/>
      <c r="IB174" s="27"/>
      <c r="IC174" s="27"/>
      <c r="ID174" s="27"/>
      <c r="IE174" s="27"/>
      <c r="IF174" s="27"/>
      <c r="IG174" s="27"/>
      <c r="IH174" s="27"/>
      <c r="II174" s="27"/>
      <c r="IJ174" s="27"/>
      <c r="IK174" s="27"/>
      <c r="IL174" s="27"/>
      <c r="IM174" s="27"/>
      <c r="IN174" s="27"/>
      <c r="IO174" s="27"/>
      <c r="IP174" s="27"/>
      <c r="IQ174" s="27"/>
      <c r="IR174" s="27"/>
      <c r="IS174" s="27"/>
      <c r="IT174" s="27"/>
      <c r="IU174" s="27"/>
      <c r="IV174" s="27"/>
      <c r="IW174" s="27"/>
      <c r="IX174" s="27"/>
      <c r="IY174" s="27"/>
      <c r="IZ174" s="27"/>
      <c r="JA174" s="27"/>
      <c r="JB174" s="27"/>
      <c r="JC174" s="27"/>
      <c r="JD174" s="28"/>
    </row>
    <row r="175" spans="9:264" ht="7.5" customHeight="1" x14ac:dyDescent="0.25">
      <c r="I175" s="26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27"/>
      <c r="CH175" s="27"/>
      <c r="CI175" s="27"/>
      <c r="CJ175" s="28"/>
      <c r="CS175" s="26"/>
      <c r="CT175" s="27"/>
      <c r="CU175" s="27"/>
      <c r="CV175" s="27"/>
      <c r="CW175" s="27"/>
      <c r="CX175" s="27"/>
      <c r="CY175" s="27"/>
      <c r="CZ175" s="27"/>
      <c r="DA175" s="27"/>
      <c r="DB175" s="27"/>
      <c r="DC175" s="27"/>
      <c r="DD175" s="27"/>
      <c r="DE175" s="27"/>
      <c r="DF175" s="27"/>
      <c r="DG175" s="27"/>
      <c r="DH175" s="27"/>
      <c r="DI175" s="27"/>
      <c r="DJ175" s="27"/>
      <c r="DK175" s="27"/>
      <c r="DL175" s="27"/>
      <c r="DM175" s="27"/>
      <c r="DN175" s="27"/>
      <c r="DO175" s="27"/>
      <c r="DP175" s="27"/>
      <c r="DQ175" s="27"/>
      <c r="DR175" s="27"/>
      <c r="DS175" s="27"/>
      <c r="DT175" s="27"/>
      <c r="DU175" s="27"/>
      <c r="DV175" s="27"/>
      <c r="DW175" s="27"/>
      <c r="DX175" s="27"/>
      <c r="DY175" s="27"/>
      <c r="DZ175" s="27"/>
      <c r="EA175" s="27"/>
      <c r="EB175" s="27"/>
      <c r="EC175" s="27"/>
      <c r="ED175" s="27"/>
      <c r="EE175" s="27"/>
      <c r="EF175" s="27"/>
      <c r="EG175" s="27"/>
      <c r="EH175" s="27"/>
      <c r="EI175" s="27"/>
      <c r="EJ175" s="27"/>
      <c r="EK175" s="27"/>
      <c r="EL175" s="27"/>
      <c r="EM175" s="27"/>
      <c r="EN175" s="27"/>
      <c r="EO175" s="27"/>
      <c r="EP175" s="27"/>
      <c r="EQ175" s="27"/>
      <c r="ER175" s="27"/>
      <c r="ES175" s="27"/>
      <c r="ET175" s="27"/>
      <c r="EU175" s="27"/>
      <c r="EV175" s="27"/>
      <c r="EW175" s="27"/>
      <c r="EX175" s="27"/>
      <c r="EY175" s="27"/>
      <c r="EZ175" s="27"/>
      <c r="FA175" s="27"/>
      <c r="FB175" s="27"/>
      <c r="FC175" s="27"/>
      <c r="FD175" s="27"/>
      <c r="FE175" s="27"/>
      <c r="FF175" s="27"/>
      <c r="FG175" s="27"/>
      <c r="FH175" s="27"/>
      <c r="FI175" s="27"/>
      <c r="FJ175" s="27"/>
      <c r="FK175" s="27"/>
      <c r="FL175" s="27"/>
      <c r="FM175" s="27"/>
      <c r="FN175" s="27"/>
      <c r="FO175" s="27"/>
      <c r="FP175" s="27"/>
      <c r="FQ175" s="27"/>
      <c r="FR175" s="27"/>
      <c r="FS175" s="27"/>
      <c r="FT175" s="28"/>
      <c r="GC175" s="26"/>
      <c r="GD175" s="27"/>
      <c r="GE175" s="27"/>
      <c r="GF175" s="27"/>
      <c r="GG175" s="27"/>
      <c r="GH175" s="27"/>
      <c r="GI175" s="27"/>
      <c r="GJ175" s="27"/>
      <c r="GK175" s="27"/>
      <c r="GL175" s="27"/>
      <c r="GM175" s="27"/>
      <c r="GN175" s="27"/>
      <c r="GO175" s="27"/>
      <c r="GP175" s="27"/>
      <c r="GQ175" s="27"/>
      <c r="GR175" s="27"/>
      <c r="GS175" s="27"/>
      <c r="GT175" s="27"/>
      <c r="GU175" s="27"/>
      <c r="GV175" s="27"/>
      <c r="GW175" s="27"/>
      <c r="GX175" s="27"/>
      <c r="GY175" s="27"/>
      <c r="GZ175" s="27"/>
      <c r="HA175" s="27"/>
      <c r="HB175" s="27"/>
      <c r="HC175" s="27"/>
      <c r="HD175" s="27"/>
      <c r="HE175" s="27"/>
      <c r="HF175" s="27"/>
      <c r="HG175" s="27"/>
      <c r="HH175" s="27"/>
      <c r="HI175" s="27"/>
      <c r="HJ175" s="27"/>
      <c r="HK175" s="27"/>
      <c r="HL175" s="27"/>
      <c r="HM175" s="27"/>
      <c r="HN175" s="27"/>
      <c r="HO175" s="27"/>
      <c r="HP175" s="27"/>
      <c r="HQ175" s="27"/>
      <c r="HR175" s="27"/>
      <c r="HS175" s="27"/>
      <c r="HT175" s="27"/>
      <c r="HU175" s="27"/>
      <c r="HV175" s="27"/>
      <c r="HW175" s="27"/>
      <c r="HX175" s="27"/>
      <c r="HY175" s="27"/>
      <c r="HZ175" s="27"/>
      <c r="IA175" s="27"/>
      <c r="IB175" s="27"/>
      <c r="IC175" s="27"/>
      <c r="ID175" s="27"/>
      <c r="IE175" s="27"/>
      <c r="IF175" s="27"/>
      <c r="IG175" s="27"/>
      <c r="IH175" s="27"/>
      <c r="II175" s="27"/>
      <c r="IJ175" s="27"/>
      <c r="IK175" s="27"/>
      <c r="IL175" s="27"/>
      <c r="IM175" s="27"/>
      <c r="IN175" s="27"/>
      <c r="IO175" s="27"/>
      <c r="IP175" s="27"/>
      <c r="IQ175" s="27"/>
      <c r="IR175" s="27"/>
      <c r="IS175" s="27"/>
      <c r="IT175" s="27"/>
      <c r="IU175" s="27"/>
      <c r="IV175" s="27"/>
      <c r="IW175" s="27"/>
      <c r="IX175" s="27"/>
      <c r="IY175" s="27"/>
      <c r="IZ175" s="27"/>
      <c r="JA175" s="27"/>
      <c r="JB175" s="27"/>
      <c r="JC175" s="27"/>
      <c r="JD175" s="28"/>
    </row>
    <row r="176" spans="9:264" ht="7.5" customHeight="1" x14ac:dyDescent="0.25">
      <c r="I176" s="26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27"/>
      <c r="CH176" s="27"/>
      <c r="CI176" s="27"/>
      <c r="CJ176" s="28"/>
      <c r="CS176" s="26"/>
      <c r="CT176" s="27"/>
      <c r="CU176" s="27"/>
      <c r="CV176" s="27"/>
      <c r="CW176" s="27"/>
      <c r="CX176" s="27"/>
      <c r="CY176" s="27"/>
      <c r="CZ176" s="27"/>
      <c r="DA176" s="27"/>
      <c r="DB176" s="27"/>
      <c r="DC176" s="27"/>
      <c r="DD176" s="27"/>
      <c r="DE176" s="27"/>
      <c r="DF176" s="27"/>
      <c r="DG176" s="27"/>
      <c r="DH176" s="27"/>
      <c r="DI176" s="27"/>
      <c r="DJ176" s="27"/>
      <c r="DK176" s="27"/>
      <c r="DL176" s="27"/>
      <c r="DM176" s="27"/>
      <c r="DN176" s="27"/>
      <c r="DO176" s="27"/>
      <c r="DP176" s="27"/>
      <c r="DQ176" s="27"/>
      <c r="DR176" s="27"/>
      <c r="DS176" s="27"/>
      <c r="DT176" s="27"/>
      <c r="DU176" s="27"/>
      <c r="DV176" s="27"/>
      <c r="DW176" s="27"/>
      <c r="DX176" s="27"/>
      <c r="DY176" s="27"/>
      <c r="DZ176" s="27"/>
      <c r="EA176" s="27"/>
      <c r="EB176" s="27"/>
      <c r="EC176" s="27"/>
      <c r="ED176" s="27"/>
      <c r="EE176" s="27"/>
      <c r="EF176" s="27"/>
      <c r="EG176" s="27"/>
      <c r="EH176" s="27"/>
      <c r="EI176" s="27"/>
      <c r="EJ176" s="27"/>
      <c r="EK176" s="27"/>
      <c r="EL176" s="27"/>
      <c r="EM176" s="27"/>
      <c r="EN176" s="27"/>
      <c r="EO176" s="27"/>
      <c r="EP176" s="27"/>
      <c r="EQ176" s="27"/>
      <c r="ER176" s="27"/>
      <c r="ES176" s="27"/>
      <c r="ET176" s="27"/>
      <c r="EU176" s="27"/>
      <c r="EV176" s="27"/>
      <c r="EW176" s="27"/>
      <c r="EX176" s="27"/>
      <c r="EY176" s="27"/>
      <c r="EZ176" s="27"/>
      <c r="FA176" s="27"/>
      <c r="FB176" s="27"/>
      <c r="FC176" s="27"/>
      <c r="FD176" s="27"/>
      <c r="FE176" s="27"/>
      <c r="FF176" s="27"/>
      <c r="FG176" s="27"/>
      <c r="FH176" s="27"/>
      <c r="FI176" s="27"/>
      <c r="FJ176" s="27"/>
      <c r="FK176" s="27"/>
      <c r="FL176" s="27"/>
      <c r="FM176" s="27"/>
      <c r="FN176" s="27"/>
      <c r="FO176" s="27"/>
      <c r="FP176" s="27"/>
      <c r="FQ176" s="27"/>
      <c r="FR176" s="27"/>
      <c r="FS176" s="27"/>
      <c r="FT176" s="28"/>
      <c r="GC176" s="26"/>
      <c r="GD176" s="27"/>
      <c r="GE176" s="27"/>
      <c r="GF176" s="27"/>
      <c r="GG176" s="27"/>
      <c r="GH176" s="27"/>
      <c r="GI176" s="27"/>
      <c r="GJ176" s="27"/>
      <c r="GK176" s="27"/>
      <c r="GL176" s="27"/>
      <c r="GM176" s="27"/>
      <c r="GN176" s="27"/>
      <c r="GO176" s="27"/>
      <c r="GP176" s="27"/>
      <c r="GQ176" s="27"/>
      <c r="GR176" s="27"/>
      <c r="GS176" s="27"/>
      <c r="GT176" s="27"/>
      <c r="GU176" s="27"/>
      <c r="GV176" s="27"/>
      <c r="GW176" s="27"/>
      <c r="GX176" s="27"/>
      <c r="GY176" s="27"/>
      <c r="GZ176" s="27"/>
      <c r="HA176" s="27"/>
      <c r="HB176" s="27"/>
      <c r="HC176" s="27"/>
      <c r="HD176" s="27"/>
      <c r="HE176" s="27"/>
      <c r="HF176" s="27"/>
      <c r="HG176" s="27"/>
      <c r="HH176" s="27"/>
      <c r="HI176" s="27"/>
      <c r="HJ176" s="27"/>
      <c r="HK176" s="27"/>
      <c r="HL176" s="27"/>
      <c r="HM176" s="27"/>
      <c r="HN176" s="27"/>
      <c r="HO176" s="27"/>
      <c r="HP176" s="27"/>
      <c r="HQ176" s="27"/>
      <c r="HR176" s="27"/>
      <c r="HS176" s="27"/>
      <c r="HT176" s="27"/>
      <c r="HU176" s="27"/>
      <c r="HV176" s="27"/>
      <c r="HW176" s="27"/>
      <c r="HX176" s="27"/>
      <c r="HY176" s="27"/>
      <c r="HZ176" s="27"/>
      <c r="IA176" s="27"/>
      <c r="IB176" s="27"/>
      <c r="IC176" s="27"/>
      <c r="ID176" s="27"/>
      <c r="IE176" s="27"/>
      <c r="IF176" s="27"/>
      <c r="IG176" s="27"/>
      <c r="IH176" s="27"/>
      <c r="II176" s="27"/>
      <c r="IJ176" s="27"/>
      <c r="IK176" s="27"/>
      <c r="IL176" s="27"/>
      <c r="IM176" s="27"/>
      <c r="IN176" s="27"/>
      <c r="IO176" s="27"/>
      <c r="IP176" s="27"/>
      <c r="IQ176" s="27"/>
      <c r="IR176" s="27"/>
      <c r="IS176" s="27"/>
      <c r="IT176" s="27"/>
      <c r="IU176" s="27"/>
      <c r="IV176" s="27"/>
      <c r="IW176" s="27"/>
      <c r="IX176" s="27"/>
      <c r="IY176" s="27"/>
      <c r="IZ176" s="27"/>
      <c r="JA176" s="27"/>
      <c r="JB176" s="27"/>
      <c r="JC176" s="27"/>
      <c r="JD176" s="28"/>
    </row>
    <row r="177" spans="9:264" ht="7.5" customHeight="1" x14ac:dyDescent="0.25">
      <c r="I177" s="26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27"/>
      <c r="CH177" s="27"/>
      <c r="CI177" s="27"/>
      <c r="CJ177" s="28"/>
      <c r="CS177" s="26"/>
      <c r="CT177" s="27"/>
      <c r="CU177" s="27"/>
      <c r="CV177" s="27"/>
      <c r="CW177" s="27"/>
      <c r="CX177" s="27"/>
      <c r="CY177" s="27"/>
      <c r="CZ177" s="27"/>
      <c r="DA177" s="27"/>
      <c r="DB177" s="27"/>
      <c r="DC177" s="27"/>
      <c r="DD177" s="27"/>
      <c r="DE177" s="27"/>
      <c r="DF177" s="27"/>
      <c r="DG177" s="27"/>
      <c r="DH177" s="27"/>
      <c r="DI177" s="27"/>
      <c r="DJ177" s="27"/>
      <c r="DK177" s="27"/>
      <c r="DL177" s="27"/>
      <c r="DM177" s="27"/>
      <c r="DN177" s="27"/>
      <c r="DO177" s="27"/>
      <c r="DP177" s="27"/>
      <c r="DQ177" s="27"/>
      <c r="DR177" s="27"/>
      <c r="DS177" s="27"/>
      <c r="DT177" s="27"/>
      <c r="DU177" s="27"/>
      <c r="DV177" s="27"/>
      <c r="DW177" s="27"/>
      <c r="DX177" s="27"/>
      <c r="DY177" s="27"/>
      <c r="DZ177" s="27"/>
      <c r="EA177" s="27"/>
      <c r="EB177" s="27"/>
      <c r="EC177" s="27"/>
      <c r="ED177" s="27"/>
      <c r="EE177" s="27"/>
      <c r="EF177" s="27"/>
      <c r="EG177" s="27"/>
      <c r="EH177" s="27"/>
      <c r="EI177" s="27"/>
      <c r="EJ177" s="27"/>
      <c r="EK177" s="27"/>
      <c r="EL177" s="27"/>
      <c r="EM177" s="27"/>
      <c r="EN177" s="27"/>
      <c r="EO177" s="27"/>
      <c r="EP177" s="27"/>
      <c r="EQ177" s="27"/>
      <c r="ER177" s="27"/>
      <c r="ES177" s="27"/>
      <c r="ET177" s="27"/>
      <c r="EU177" s="27"/>
      <c r="EV177" s="27"/>
      <c r="EW177" s="27"/>
      <c r="EX177" s="27"/>
      <c r="EY177" s="27"/>
      <c r="EZ177" s="27"/>
      <c r="FA177" s="27"/>
      <c r="FB177" s="27"/>
      <c r="FC177" s="27"/>
      <c r="FD177" s="27"/>
      <c r="FE177" s="27"/>
      <c r="FF177" s="27"/>
      <c r="FG177" s="27"/>
      <c r="FH177" s="27"/>
      <c r="FI177" s="27"/>
      <c r="FJ177" s="27"/>
      <c r="FK177" s="27"/>
      <c r="FL177" s="27"/>
      <c r="FM177" s="27"/>
      <c r="FN177" s="27"/>
      <c r="FO177" s="27"/>
      <c r="FP177" s="27"/>
      <c r="FQ177" s="27"/>
      <c r="FR177" s="27"/>
      <c r="FS177" s="27"/>
      <c r="FT177" s="28"/>
      <c r="GC177" s="26"/>
      <c r="GD177" s="27"/>
      <c r="GE177" s="27"/>
      <c r="GF177" s="27"/>
      <c r="GG177" s="27"/>
      <c r="GH177" s="27"/>
      <c r="GI177" s="27"/>
      <c r="GJ177" s="27"/>
      <c r="GK177" s="27"/>
      <c r="GL177" s="27"/>
      <c r="GM177" s="27"/>
      <c r="GN177" s="27"/>
      <c r="GO177" s="27"/>
      <c r="GP177" s="27"/>
      <c r="GQ177" s="27"/>
      <c r="GR177" s="27"/>
      <c r="GS177" s="27"/>
      <c r="GT177" s="27"/>
      <c r="GU177" s="27"/>
      <c r="GV177" s="27"/>
      <c r="GW177" s="27"/>
      <c r="GX177" s="27"/>
      <c r="GY177" s="27"/>
      <c r="GZ177" s="27"/>
      <c r="HA177" s="27"/>
      <c r="HB177" s="27"/>
      <c r="HC177" s="27"/>
      <c r="HD177" s="27"/>
      <c r="HE177" s="27"/>
      <c r="HF177" s="27"/>
      <c r="HG177" s="27"/>
      <c r="HH177" s="27"/>
      <c r="HI177" s="27"/>
      <c r="HJ177" s="27"/>
      <c r="HK177" s="27"/>
      <c r="HL177" s="27"/>
      <c r="HM177" s="27"/>
      <c r="HN177" s="27"/>
      <c r="HO177" s="27"/>
      <c r="HP177" s="27"/>
      <c r="HQ177" s="27"/>
      <c r="HR177" s="27"/>
      <c r="HS177" s="27"/>
      <c r="HT177" s="27"/>
      <c r="HU177" s="27"/>
      <c r="HV177" s="27"/>
      <c r="HW177" s="27"/>
      <c r="HX177" s="27"/>
      <c r="HY177" s="27"/>
      <c r="HZ177" s="27"/>
      <c r="IA177" s="27"/>
      <c r="IB177" s="27"/>
      <c r="IC177" s="27"/>
      <c r="ID177" s="27"/>
      <c r="IE177" s="27"/>
      <c r="IF177" s="27"/>
      <c r="IG177" s="27"/>
      <c r="IH177" s="27"/>
      <c r="II177" s="27"/>
      <c r="IJ177" s="27"/>
      <c r="IK177" s="27"/>
      <c r="IL177" s="27"/>
      <c r="IM177" s="27"/>
      <c r="IN177" s="27"/>
      <c r="IO177" s="27"/>
      <c r="IP177" s="27"/>
      <c r="IQ177" s="27"/>
      <c r="IR177" s="27"/>
      <c r="IS177" s="27"/>
      <c r="IT177" s="27"/>
      <c r="IU177" s="27"/>
      <c r="IV177" s="27"/>
      <c r="IW177" s="27"/>
      <c r="IX177" s="27"/>
      <c r="IY177" s="27"/>
      <c r="IZ177" s="27"/>
      <c r="JA177" s="27"/>
      <c r="JB177" s="27"/>
      <c r="JC177" s="27"/>
      <c r="JD177" s="28"/>
    </row>
    <row r="178" spans="9:264" ht="7.5" customHeight="1" x14ac:dyDescent="0.25">
      <c r="I178" s="26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27"/>
      <c r="CH178" s="27"/>
      <c r="CI178" s="27"/>
      <c r="CJ178" s="28"/>
      <c r="CS178" s="26"/>
      <c r="CT178" s="27"/>
      <c r="CU178" s="27"/>
      <c r="CV178" s="27"/>
      <c r="CW178" s="27"/>
      <c r="CX178" s="27"/>
      <c r="CY178" s="27"/>
      <c r="CZ178" s="27"/>
      <c r="DA178" s="27"/>
      <c r="DB178" s="27"/>
      <c r="DC178" s="27"/>
      <c r="DD178" s="27"/>
      <c r="DE178" s="27"/>
      <c r="DF178" s="27"/>
      <c r="DG178" s="27"/>
      <c r="DH178" s="27"/>
      <c r="DI178" s="27"/>
      <c r="DJ178" s="27"/>
      <c r="DK178" s="27"/>
      <c r="DL178" s="27"/>
      <c r="DM178" s="27"/>
      <c r="DN178" s="27"/>
      <c r="DO178" s="27"/>
      <c r="DP178" s="27"/>
      <c r="DQ178" s="27"/>
      <c r="DR178" s="27"/>
      <c r="DS178" s="27"/>
      <c r="DT178" s="27"/>
      <c r="DU178" s="27"/>
      <c r="DV178" s="27"/>
      <c r="DW178" s="27"/>
      <c r="DX178" s="27"/>
      <c r="DY178" s="27"/>
      <c r="DZ178" s="27"/>
      <c r="EA178" s="27"/>
      <c r="EB178" s="27"/>
      <c r="EC178" s="27"/>
      <c r="ED178" s="27"/>
      <c r="EE178" s="27"/>
      <c r="EF178" s="27"/>
      <c r="EG178" s="27"/>
      <c r="EH178" s="27"/>
      <c r="EI178" s="27"/>
      <c r="EJ178" s="27"/>
      <c r="EK178" s="27"/>
      <c r="EL178" s="27"/>
      <c r="EM178" s="27"/>
      <c r="EN178" s="27"/>
      <c r="EO178" s="27"/>
      <c r="EP178" s="27"/>
      <c r="EQ178" s="27"/>
      <c r="ER178" s="27"/>
      <c r="ES178" s="27"/>
      <c r="ET178" s="27"/>
      <c r="EU178" s="27"/>
      <c r="EV178" s="27"/>
      <c r="EW178" s="27"/>
      <c r="EX178" s="27"/>
      <c r="EY178" s="27"/>
      <c r="EZ178" s="27"/>
      <c r="FA178" s="27"/>
      <c r="FB178" s="27"/>
      <c r="FC178" s="27"/>
      <c r="FD178" s="27"/>
      <c r="FE178" s="27"/>
      <c r="FF178" s="27"/>
      <c r="FG178" s="27"/>
      <c r="FH178" s="27"/>
      <c r="FI178" s="27"/>
      <c r="FJ178" s="27"/>
      <c r="FK178" s="27"/>
      <c r="FL178" s="27"/>
      <c r="FM178" s="27"/>
      <c r="FN178" s="27"/>
      <c r="FO178" s="27"/>
      <c r="FP178" s="27"/>
      <c r="FQ178" s="27"/>
      <c r="FR178" s="27"/>
      <c r="FS178" s="27"/>
      <c r="FT178" s="28"/>
      <c r="GC178" s="26"/>
      <c r="GD178" s="27"/>
      <c r="GE178" s="27"/>
      <c r="GF178" s="27"/>
      <c r="GG178" s="27"/>
      <c r="GH178" s="27"/>
      <c r="GI178" s="27"/>
      <c r="GJ178" s="27"/>
      <c r="GK178" s="27"/>
      <c r="GL178" s="27"/>
      <c r="GM178" s="27"/>
      <c r="GN178" s="27"/>
      <c r="GO178" s="27"/>
      <c r="GP178" s="27"/>
      <c r="GQ178" s="27"/>
      <c r="GR178" s="27"/>
      <c r="GS178" s="27"/>
      <c r="GT178" s="27"/>
      <c r="GU178" s="27"/>
      <c r="GV178" s="27"/>
      <c r="GW178" s="27"/>
      <c r="GX178" s="27"/>
      <c r="GY178" s="27"/>
      <c r="GZ178" s="27"/>
      <c r="HA178" s="27"/>
      <c r="HB178" s="27"/>
      <c r="HC178" s="27"/>
      <c r="HD178" s="27"/>
      <c r="HE178" s="27"/>
      <c r="HF178" s="27"/>
      <c r="HG178" s="27"/>
      <c r="HH178" s="27"/>
      <c r="HI178" s="27"/>
      <c r="HJ178" s="27"/>
      <c r="HK178" s="27"/>
      <c r="HL178" s="27"/>
      <c r="HM178" s="27"/>
      <c r="HN178" s="27"/>
      <c r="HO178" s="27"/>
      <c r="HP178" s="27"/>
      <c r="HQ178" s="27"/>
      <c r="HR178" s="27"/>
      <c r="HS178" s="27"/>
      <c r="HT178" s="27"/>
      <c r="HU178" s="27"/>
      <c r="HV178" s="27"/>
      <c r="HW178" s="27"/>
      <c r="HX178" s="27"/>
      <c r="HY178" s="27"/>
      <c r="HZ178" s="27"/>
      <c r="IA178" s="27"/>
      <c r="IB178" s="27"/>
      <c r="IC178" s="27"/>
      <c r="ID178" s="27"/>
      <c r="IE178" s="27"/>
      <c r="IF178" s="27"/>
      <c r="IG178" s="27"/>
      <c r="IH178" s="27"/>
      <c r="II178" s="27"/>
      <c r="IJ178" s="27"/>
      <c r="IK178" s="27"/>
      <c r="IL178" s="27"/>
      <c r="IM178" s="27"/>
      <c r="IN178" s="27"/>
      <c r="IO178" s="27"/>
      <c r="IP178" s="27"/>
      <c r="IQ178" s="27"/>
      <c r="IR178" s="27"/>
      <c r="IS178" s="27"/>
      <c r="IT178" s="27"/>
      <c r="IU178" s="27"/>
      <c r="IV178" s="27"/>
      <c r="IW178" s="27"/>
      <c r="IX178" s="27"/>
      <c r="IY178" s="27"/>
      <c r="IZ178" s="27"/>
      <c r="JA178" s="27"/>
      <c r="JB178" s="27"/>
      <c r="JC178" s="27"/>
      <c r="JD178" s="28"/>
    </row>
    <row r="179" spans="9:264" ht="7.5" customHeight="1" x14ac:dyDescent="0.25">
      <c r="I179" s="26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27"/>
      <c r="CH179" s="27"/>
      <c r="CI179" s="27"/>
      <c r="CJ179" s="28"/>
      <c r="CS179" s="26"/>
      <c r="CT179" s="27"/>
      <c r="CU179" s="27"/>
      <c r="CV179" s="27"/>
      <c r="CW179" s="27"/>
      <c r="CX179" s="27"/>
      <c r="CY179" s="27"/>
      <c r="CZ179" s="27"/>
      <c r="DA179" s="27"/>
      <c r="DB179" s="27"/>
      <c r="DC179" s="27"/>
      <c r="DD179" s="27"/>
      <c r="DE179" s="27"/>
      <c r="DF179" s="27"/>
      <c r="DG179" s="27"/>
      <c r="DH179" s="27"/>
      <c r="DI179" s="27"/>
      <c r="DJ179" s="27"/>
      <c r="DK179" s="27"/>
      <c r="DL179" s="27"/>
      <c r="DM179" s="27"/>
      <c r="DN179" s="27"/>
      <c r="DO179" s="27"/>
      <c r="DP179" s="27"/>
      <c r="DQ179" s="27"/>
      <c r="DR179" s="27"/>
      <c r="DS179" s="27"/>
      <c r="DT179" s="27"/>
      <c r="DU179" s="27"/>
      <c r="DV179" s="27"/>
      <c r="DW179" s="27"/>
      <c r="DX179" s="27"/>
      <c r="DY179" s="27"/>
      <c r="DZ179" s="27"/>
      <c r="EA179" s="27"/>
      <c r="EB179" s="27"/>
      <c r="EC179" s="27"/>
      <c r="ED179" s="27"/>
      <c r="EE179" s="27"/>
      <c r="EF179" s="27"/>
      <c r="EG179" s="27"/>
      <c r="EH179" s="27"/>
      <c r="EI179" s="27"/>
      <c r="EJ179" s="27"/>
      <c r="EK179" s="27"/>
      <c r="EL179" s="27"/>
      <c r="EM179" s="27"/>
      <c r="EN179" s="27"/>
      <c r="EO179" s="27"/>
      <c r="EP179" s="27"/>
      <c r="EQ179" s="27"/>
      <c r="ER179" s="27"/>
      <c r="ES179" s="27"/>
      <c r="ET179" s="27"/>
      <c r="EU179" s="27"/>
      <c r="EV179" s="27"/>
      <c r="EW179" s="27"/>
      <c r="EX179" s="27"/>
      <c r="EY179" s="27"/>
      <c r="EZ179" s="27"/>
      <c r="FA179" s="27"/>
      <c r="FB179" s="27"/>
      <c r="FC179" s="27"/>
      <c r="FD179" s="27"/>
      <c r="FE179" s="27"/>
      <c r="FF179" s="27"/>
      <c r="FG179" s="27"/>
      <c r="FH179" s="27"/>
      <c r="FI179" s="27"/>
      <c r="FJ179" s="27"/>
      <c r="FK179" s="27"/>
      <c r="FL179" s="27"/>
      <c r="FM179" s="27"/>
      <c r="FN179" s="27"/>
      <c r="FO179" s="27"/>
      <c r="FP179" s="27"/>
      <c r="FQ179" s="27"/>
      <c r="FR179" s="27"/>
      <c r="FS179" s="27"/>
      <c r="FT179" s="28"/>
      <c r="GC179" s="26"/>
      <c r="GD179" s="27"/>
      <c r="GE179" s="27"/>
      <c r="GF179" s="27"/>
      <c r="GG179" s="27"/>
      <c r="GH179" s="27"/>
      <c r="GI179" s="27"/>
      <c r="GJ179" s="27"/>
      <c r="GK179" s="27"/>
      <c r="GL179" s="27"/>
      <c r="GM179" s="27"/>
      <c r="GN179" s="27"/>
      <c r="GO179" s="27"/>
      <c r="GP179" s="27"/>
      <c r="GQ179" s="27"/>
      <c r="GR179" s="27"/>
      <c r="GS179" s="27"/>
      <c r="GT179" s="27"/>
      <c r="GU179" s="27"/>
      <c r="GV179" s="27"/>
      <c r="GW179" s="27"/>
      <c r="GX179" s="27"/>
      <c r="GY179" s="27"/>
      <c r="GZ179" s="27"/>
      <c r="HA179" s="27"/>
      <c r="HB179" s="27"/>
      <c r="HC179" s="27"/>
      <c r="HD179" s="27"/>
      <c r="HE179" s="27"/>
      <c r="HF179" s="27"/>
      <c r="HG179" s="27"/>
      <c r="HH179" s="27"/>
      <c r="HI179" s="27"/>
      <c r="HJ179" s="27"/>
      <c r="HK179" s="27"/>
      <c r="HL179" s="27"/>
      <c r="HM179" s="27"/>
      <c r="HN179" s="27"/>
      <c r="HO179" s="27"/>
      <c r="HP179" s="27"/>
      <c r="HQ179" s="27"/>
      <c r="HR179" s="27"/>
      <c r="HS179" s="27"/>
      <c r="HT179" s="27"/>
      <c r="HU179" s="27"/>
      <c r="HV179" s="27"/>
      <c r="HW179" s="27"/>
      <c r="HX179" s="27"/>
      <c r="HY179" s="27"/>
      <c r="HZ179" s="27"/>
      <c r="IA179" s="27"/>
      <c r="IB179" s="27"/>
      <c r="IC179" s="27"/>
      <c r="ID179" s="27"/>
      <c r="IE179" s="27"/>
      <c r="IF179" s="27"/>
      <c r="IG179" s="27"/>
      <c r="IH179" s="27"/>
      <c r="II179" s="27"/>
      <c r="IJ179" s="27"/>
      <c r="IK179" s="27"/>
      <c r="IL179" s="27"/>
      <c r="IM179" s="27"/>
      <c r="IN179" s="27"/>
      <c r="IO179" s="27"/>
      <c r="IP179" s="27"/>
      <c r="IQ179" s="27"/>
      <c r="IR179" s="27"/>
      <c r="IS179" s="27"/>
      <c r="IT179" s="27"/>
      <c r="IU179" s="27"/>
      <c r="IV179" s="27"/>
      <c r="IW179" s="27"/>
      <c r="IX179" s="27"/>
      <c r="IY179" s="27"/>
      <c r="IZ179" s="27"/>
      <c r="JA179" s="27"/>
      <c r="JB179" s="27"/>
      <c r="JC179" s="27"/>
      <c r="JD179" s="28"/>
    </row>
    <row r="180" spans="9:264" ht="7.5" customHeight="1" x14ac:dyDescent="0.25">
      <c r="I180" s="26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27"/>
      <c r="CH180" s="27"/>
      <c r="CI180" s="27"/>
      <c r="CJ180" s="28"/>
      <c r="CS180" s="26"/>
      <c r="CT180" s="27"/>
      <c r="CU180" s="27"/>
      <c r="CV180" s="27"/>
      <c r="CW180" s="27"/>
      <c r="CX180" s="27"/>
      <c r="CY180" s="27"/>
      <c r="CZ180" s="27"/>
      <c r="DA180" s="27"/>
      <c r="DB180" s="27"/>
      <c r="DC180" s="27"/>
      <c r="DD180" s="27"/>
      <c r="DE180" s="27"/>
      <c r="DF180" s="27"/>
      <c r="DG180" s="27"/>
      <c r="DH180" s="27"/>
      <c r="DI180" s="27"/>
      <c r="DJ180" s="27"/>
      <c r="DK180" s="27"/>
      <c r="DL180" s="27"/>
      <c r="DM180" s="27"/>
      <c r="DN180" s="27"/>
      <c r="DO180" s="27"/>
      <c r="DP180" s="27"/>
      <c r="DQ180" s="27"/>
      <c r="DR180" s="27"/>
      <c r="DS180" s="27"/>
      <c r="DT180" s="27"/>
      <c r="DU180" s="27"/>
      <c r="DV180" s="27"/>
      <c r="DW180" s="27"/>
      <c r="DX180" s="27"/>
      <c r="DY180" s="27"/>
      <c r="DZ180" s="27"/>
      <c r="EA180" s="27"/>
      <c r="EB180" s="27"/>
      <c r="EC180" s="27"/>
      <c r="ED180" s="27"/>
      <c r="EE180" s="27"/>
      <c r="EF180" s="27"/>
      <c r="EG180" s="27"/>
      <c r="EH180" s="27"/>
      <c r="EI180" s="27"/>
      <c r="EJ180" s="27"/>
      <c r="EK180" s="27"/>
      <c r="EL180" s="27"/>
      <c r="EM180" s="27"/>
      <c r="EN180" s="27"/>
      <c r="EO180" s="27"/>
      <c r="EP180" s="27"/>
      <c r="EQ180" s="27"/>
      <c r="ER180" s="27"/>
      <c r="ES180" s="27"/>
      <c r="ET180" s="27"/>
      <c r="EU180" s="27"/>
      <c r="EV180" s="27"/>
      <c r="EW180" s="27"/>
      <c r="EX180" s="27"/>
      <c r="EY180" s="27"/>
      <c r="EZ180" s="27"/>
      <c r="FA180" s="27"/>
      <c r="FB180" s="27"/>
      <c r="FC180" s="27"/>
      <c r="FD180" s="27"/>
      <c r="FE180" s="27"/>
      <c r="FF180" s="27"/>
      <c r="FG180" s="27"/>
      <c r="FH180" s="27"/>
      <c r="FI180" s="27"/>
      <c r="FJ180" s="27"/>
      <c r="FK180" s="27"/>
      <c r="FL180" s="27"/>
      <c r="FM180" s="27"/>
      <c r="FN180" s="27"/>
      <c r="FO180" s="27"/>
      <c r="FP180" s="27"/>
      <c r="FQ180" s="27"/>
      <c r="FR180" s="27"/>
      <c r="FS180" s="27"/>
      <c r="FT180" s="28"/>
      <c r="GC180" s="26"/>
      <c r="GD180" s="27"/>
      <c r="GE180" s="27"/>
      <c r="GF180" s="27"/>
      <c r="GG180" s="27"/>
      <c r="GH180" s="27"/>
      <c r="GI180" s="27"/>
      <c r="GJ180" s="27"/>
      <c r="GK180" s="27"/>
      <c r="GL180" s="27"/>
      <c r="GM180" s="27"/>
      <c r="GN180" s="27"/>
      <c r="GO180" s="27"/>
      <c r="GP180" s="27"/>
      <c r="GQ180" s="27"/>
      <c r="GR180" s="27"/>
      <c r="GS180" s="27"/>
      <c r="GT180" s="27"/>
      <c r="GU180" s="27"/>
      <c r="GV180" s="27"/>
      <c r="GW180" s="27"/>
      <c r="GX180" s="27"/>
      <c r="GY180" s="27"/>
      <c r="GZ180" s="27"/>
      <c r="HA180" s="27"/>
      <c r="HB180" s="27"/>
      <c r="HC180" s="27"/>
      <c r="HD180" s="27"/>
      <c r="HE180" s="27"/>
      <c r="HF180" s="27"/>
      <c r="HG180" s="27"/>
      <c r="HH180" s="27"/>
      <c r="HI180" s="27"/>
      <c r="HJ180" s="27"/>
      <c r="HK180" s="27"/>
      <c r="HL180" s="27"/>
      <c r="HM180" s="27"/>
      <c r="HN180" s="27"/>
      <c r="HO180" s="27"/>
      <c r="HP180" s="27"/>
      <c r="HQ180" s="27"/>
      <c r="HR180" s="27"/>
      <c r="HS180" s="27"/>
      <c r="HT180" s="27"/>
      <c r="HU180" s="27"/>
      <c r="HV180" s="27"/>
      <c r="HW180" s="27"/>
      <c r="HX180" s="27"/>
      <c r="HY180" s="27"/>
      <c r="HZ180" s="27"/>
      <c r="IA180" s="27"/>
      <c r="IB180" s="27"/>
      <c r="IC180" s="27"/>
      <c r="ID180" s="27"/>
      <c r="IE180" s="27"/>
      <c r="IF180" s="27"/>
      <c r="IG180" s="27"/>
      <c r="IH180" s="27"/>
      <c r="II180" s="27"/>
      <c r="IJ180" s="27"/>
      <c r="IK180" s="27"/>
      <c r="IL180" s="27"/>
      <c r="IM180" s="27"/>
      <c r="IN180" s="27"/>
      <c r="IO180" s="27"/>
      <c r="IP180" s="27"/>
      <c r="IQ180" s="27"/>
      <c r="IR180" s="27"/>
      <c r="IS180" s="27"/>
      <c r="IT180" s="27"/>
      <c r="IU180" s="27"/>
      <c r="IV180" s="27"/>
      <c r="IW180" s="27"/>
      <c r="IX180" s="27"/>
      <c r="IY180" s="27"/>
      <c r="IZ180" s="27"/>
      <c r="JA180" s="27"/>
      <c r="JB180" s="27"/>
      <c r="JC180" s="27"/>
      <c r="JD180" s="28"/>
    </row>
    <row r="181" spans="9:264" ht="7.5" customHeight="1" x14ac:dyDescent="0.25">
      <c r="I181" s="26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27"/>
      <c r="CH181" s="27"/>
      <c r="CI181" s="27"/>
      <c r="CJ181" s="28"/>
      <c r="CS181" s="26"/>
      <c r="CT181" s="27"/>
      <c r="CU181" s="27"/>
      <c r="CV181" s="27"/>
      <c r="CW181" s="27"/>
      <c r="CX181" s="27"/>
      <c r="CY181" s="27"/>
      <c r="CZ181" s="27"/>
      <c r="DA181" s="27"/>
      <c r="DB181" s="27"/>
      <c r="DC181" s="27"/>
      <c r="DD181" s="27"/>
      <c r="DE181" s="27"/>
      <c r="DF181" s="27"/>
      <c r="DG181" s="27"/>
      <c r="DH181" s="27"/>
      <c r="DI181" s="27"/>
      <c r="DJ181" s="27"/>
      <c r="DK181" s="27"/>
      <c r="DL181" s="27"/>
      <c r="DM181" s="27"/>
      <c r="DN181" s="27"/>
      <c r="DO181" s="27"/>
      <c r="DP181" s="27"/>
      <c r="DQ181" s="27"/>
      <c r="DR181" s="27"/>
      <c r="DS181" s="27"/>
      <c r="DT181" s="27"/>
      <c r="DU181" s="27"/>
      <c r="DV181" s="27"/>
      <c r="DW181" s="27"/>
      <c r="DX181" s="27"/>
      <c r="DY181" s="27"/>
      <c r="DZ181" s="27"/>
      <c r="EA181" s="27"/>
      <c r="EB181" s="27"/>
      <c r="EC181" s="27"/>
      <c r="ED181" s="27"/>
      <c r="EE181" s="27"/>
      <c r="EF181" s="27"/>
      <c r="EG181" s="27"/>
      <c r="EH181" s="27"/>
      <c r="EI181" s="27"/>
      <c r="EJ181" s="27"/>
      <c r="EK181" s="27"/>
      <c r="EL181" s="27"/>
      <c r="EM181" s="27"/>
      <c r="EN181" s="27"/>
      <c r="EO181" s="27"/>
      <c r="EP181" s="27"/>
      <c r="EQ181" s="27"/>
      <c r="ER181" s="27"/>
      <c r="ES181" s="27"/>
      <c r="ET181" s="27"/>
      <c r="EU181" s="27"/>
      <c r="EV181" s="27"/>
      <c r="EW181" s="27"/>
      <c r="EX181" s="27"/>
      <c r="EY181" s="27"/>
      <c r="EZ181" s="27"/>
      <c r="FA181" s="27"/>
      <c r="FB181" s="27"/>
      <c r="FC181" s="27"/>
      <c r="FD181" s="27"/>
      <c r="FE181" s="27"/>
      <c r="FF181" s="27"/>
      <c r="FG181" s="27"/>
      <c r="FH181" s="27"/>
      <c r="FI181" s="27"/>
      <c r="FJ181" s="27"/>
      <c r="FK181" s="27"/>
      <c r="FL181" s="27"/>
      <c r="FM181" s="27"/>
      <c r="FN181" s="27"/>
      <c r="FO181" s="27"/>
      <c r="FP181" s="27"/>
      <c r="FQ181" s="27"/>
      <c r="FR181" s="27"/>
      <c r="FS181" s="27"/>
      <c r="FT181" s="28"/>
      <c r="GC181" s="26"/>
      <c r="GD181" s="27"/>
      <c r="GE181" s="27"/>
      <c r="GF181" s="27"/>
      <c r="GG181" s="27"/>
      <c r="GH181" s="27"/>
      <c r="GI181" s="27"/>
      <c r="GJ181" s="27"/>
      <c r="GK181" s="27"/>
      <c r="GL181" s="27"/>
      <c r="GM181" s="27"/>
      <c r="GN181" s="27"/>
      <c r="GO181" s="27"/>
      <c r="GP181" s="27"/>
      <c r="GQ181" s="27"/>
      <c r="GR181" s="27"/>
      <c r="GS181" s="27"/>
      <c r="GT181" s="27"/>
      <c r="GU181" s="27"/>
      <c r="GV181" s="27"/>
      <c r="GW181" s="27"/>
      <c r="GX181" s="27"/>
      <c r="GY181" s="27"/>
      <c r="GZ181" s="27"/>
      <c r="HA181" s="27"/>
      <c r="HB181" s="27"/>
      <c r="HC181" s="27"/>
      <c r="HD181" s="27"/>
      <c r="HE181" s="27"/>
      <c r="HF181" s="27"/>
      <c r="HG181" s="27"/>
      <c r="HH181" s="27"/>
      <c r="HI181" s="27"/>
      <c r="HJ181" s="27"/>
      <c r="HK181" s="27"/>
      <c r="HL181" s="27"/>
      <c r="HM181" s="27"/>
      <c r="HN181" s="27"/>
      <c r="HO181" s="27"/>
      <c r="HP181" s="27"/>
      <c r="HQ181" s="27"/>
      <c r="HR181" s="27"/>
      <c r="HS181" s="27"/>
      <c r="HT181" s="27"/>
      <c r="HU181" s="27"/>
      <c r="HV181" s="27"/>
      <c r="HW181" s="27"/>
      <c r="HX181" s="27"/>
      <c r="HY181" s="27"/>
      <c r="HZ181" s="27"/>
      <c r="IA181" s="27"/>
      <c r="IB181" s="27"/>
      <c r="IC181" s="27"/>
      <c r="ID181" s="27"/>
      <c r="IE181" s="27"/>
      <c r="IF181" s="27"/>
      <c r="IG181" s="27"/>
      <c r="IH181" s="27"/>
      <c r="II181" s="27"/>
      <c r="IJ181" s="27"/>
      <c r="IK181" s="27"/>
      <c r="IL181" s="27"/>
      <c r="IM181" s="27"/>
      <c r="IN181" s="27"/>
      <c r="IO181" s="27"/>
      <c r="IP181" s="27"/>
      <c r="IQ181" s="27"/>
      <c r="IR181" s="27"/>
      <c r="IS181" s="27"/>
      <c r="IT181" s="27"/>
      <c r="IU181" s="27"/>
      <c r="IV181" s="27"/>
      <c r="IW181" s="27"/>
      <c r="IX181" s="27"/>
      <c r="IY181" s="27"/>
      <c r="IZ181" s="27"/>
      <c r="JA181" s="27"/>
      <c r="JB181" s="27"/>
      <c r="JC181" s="27"/>
      <c r="JD181" s="28"/>
    </row>
    <row r="182" spans="9:264" ht="7.5" customHeight="1" x14ac:dyDescent="0.25">
      <c r="I182" s="26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27"/>
      <c r="CH182" s="27"/>
      <c r="CI182" s="27"/>
      <c r="CJ182" s="28"/>
      <c r="CS182" s="26"/>
      <c r="CT182" s="27"/>
      <c r="CU182" s="27"/>
      <c r="CV182" s="27"/>
      <c r="CW182" s="27"/>
      <c r="CX182" s="27"/>
      <c r="CY182" s="27"/>
      <c r="CZ182" s="27"/>
      <c r="DA182" s="27"/>
      <c r="DB182" s="27"/>
      <c r="DC182" s="27"/>
      <c r="DD182" s="27"/>
      <c r="DE182" s="27"/>
      <c r="DF182" s="27"/>
      <c r="DG182" s="27"/>
      <c r="DH182" s="27"/>
      <c r="DI182" s="27"/>
      <c r="DJ182" s="27"/>
      <c r="DK182" s="27"/>
      <c r="DL182" s="27"/>
      <c r="DM182" s="27"/>
      <c r="DN182" s="27"/>
      <c r="DO182" s="27"/>
      <c r="DP182" s="27"/>
      <c r="DQ182" s="27"/>
      <c r="DR182" s="27"/>
      <c r="DS182" s="27"/>
      <c r="DT182" s="27"/>
      <c r="DU182" s="27"/>
      <c r="DV182" s="27"/>
      <c r="DW182" s="27"/>
      <c r="DX182" s="27"/>
      <c r="DY182" s="27"/>
      <c r="DZ182" s="27"/>
      <c r="EA182" s="27"/>
      <c r="EB182" s="27"/>
      <c r="EC182" s="27"/>
      <c r="ED182" s="27"/>
      <c r="EE182" s="27"/>
      <c r="EF182" s="27"/>
      <c r="EG182" s="27"/>
      <c r="EH182" s="27"/>
      <c r="EI182" s="27"/>
      <c r="EJ182" s="27"/>
      <c r="EK182" s="27"/>
      <c r="EL182" s="27"/>
      <c r="EM182" s="27"/>
      <c r="EN182" s="27"/>
      <c r="EO182" s="27"/>
      <c r="EP182" s="27"/>
      <c r="EQ182" s="27"/>
      <c r="ER182" s="27"/>
      <c r="ES182" s="27"/>
      <c r="ET182" s="27"/>
      <c r="EU182" s="27"/>
      <c r="EV182" s="27"/>
      <c r="EW182" s="27"/>
      <c r="EX182" s="27"/>
      <c r="EY182" s="27"/>
      <c r="EZ182" s="27"/>
      <c r="FA182" s="27"/>
      <c r="FB182" s="27"/>
      <c r="FC182" s="27"/>
      <c r="FD182" s="27"/>
      <c r="FE182" s="27"/>
      <c r="FF182" s="27"/>
      <c r="FG182" s="27"/>
      <c r="FH182" s="27"/>
      <c r="FI182" s="27"/>
      <c r="FJ182" s="27"/>
      <c r="FK182" s="27"/>
      <c r="FL182" s="27"/>
      <c r="FM182" s="27"/>
      <c r="FN182" s="27"/>
      <c r="FO182" s="27"/>
      <c r="FP182" s="27"/>
      <c r="FQ182" s="27"/>
      <c r="FR182" s="27"/>
      <c r="FS182" s="27"/>
      <c r="FT182" s="28"/>
      <c r="GC182" s="26"/>
      <c r="GD182" s="27"/>
      <c r="GE182" s="27"/>
      <c r="GF182" s="27"/>
      <c r="GG182" s="27"/>
      <c r="GH182" s="27"/>
      <c r="GI182" s="27"/>
      <c r="GJ182" s="27"/>
      <c r="GK182" s="27"/>
      <c r="GL182" s="27"/>
      <c r="GM182" s="27"/>
      <c r="GN182" s="27"/>
      <c r="GO182" s="27"/>
      <c r="GP182" s="27"/>
      <c r="GQ182" s="27"/>
      <c r="GR182" s="27"/>
      <c r="GS182" s="27"/>
      <c r="GT182" s="27"/>
      <c r="GU182" s="27"/>
      <c r="GV182" s="27"/>
      <c r="GW182" s="27"/>
      <c r="GX182" s="27"/>
      <c r="GY182" s="27"/>
      <c r="GZ182" s="27"/>
      <c r="HA182" s="27"/>
      <c r="HB182" s="27"/>
      <c r="HC182" s="27"/>
      <c r="HD182" s="27"/>
      <c r="HE182" s="27"/>
      <c r="HF182" s="27"/>
      <c r="HG182" s="27"/>
      <c r="HH182" s="27"/>
      <c r="HI182" s="27"/>
      <c r="HJ182" s="27"/>
      <c r="HK182" s="27"/>
      <c r="HL182" s="27"/>
      <c r="HM182" s="27"/>
      <c r="HN182" s="27"/>
      <c r="HO182" s="27"/>
      <c r="HP182" s="27"/>
      <c r="HQ182" s="27"/>
      <c r="HR182" s="27"/>
      <c r="HS182" s="27"/>
      <c r="HT182" s="27"/>
      <c r="HU182" s="27"/>
      <c r="HV182" s="27"/>
      <c r="HW182" s="27"/>
      <c r="HX182" s="27"/>
      <c r="HY182" s="27"/>
      <c r="HZ182" s="27"/>
      <c r="IA182" s="27"/>
      <c r="IB182" s="27"/>
      <c r="IC182" s="27"/>
      <c r="ID182" s="27"/>
      <c r="IE182" s="27"/>
      <c r="IF182" s="27"/>
      <c r="IG182" s="27"/>
      <c r="IH182" s="27"/>
      <c r="II182" s="27"/>
      <c r="IJ182" s="27"/>
      <c r="IK182" s="27"/>
      <c r="IL182" s="27"/>
      <c r="IM182" s="27"/>
      <c r="IN182" s="27"/>
      <c r="IO182" s="27"/>
      <c r="IP182" s="27"/>
      <c r="IQ182" s="27"/>
      <c r="IR182" s="27"/>
      <c r="IS182" s="27"/>
      <c r="IT182" s="27"/>
      <c r="IU182" s="27"/>
      <c r="IV182" s="27"/>
      <c r="IW182" s="27"/>
      <c r="IX182" s="27"/>
      <c r="IY182" s="27"/>
      <c r="IZ182" s="27"/>
      <c r="JA182" s="27"/>
      <c r="JB182" s="27"/>
      <c r="JC182" s="27"/>
      <c r="JD182" s="28"/>
    </row>
    <row r="183" spans="9:264" ht="7.5" customHeight="1" x14ac:dyDescent="0.25">
      <c r="I183" s="26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27"/>
      <c r="CH183" s="27"/>
      <c r="CI183" s="27"/>
      <c r="CJ183" s="28"/>
      <c r="CS183" s="26"/>
      <c r="CT183" s="27"/>
      <c r="CU183" s="27"/>
      <c r="CV183" s="27"/>
      <c r="CW183" s="27"/>
      <c r="CX183" s="27"/>
      <c r="CY183" s="27"/>
      <c r="CZ183" s="27"/>
      <c r="DA183" s="27"/>
      <c r="DB183" s="27"/>
      <c r="DC183" s="27"/>
      <c r="DD183" s="27"/>
      <c r="DE183" s="27"/>
      <c r="DF183" s="27"/>
      <c r="DG183" s="27"/>
      <c r="DH183" s="27"/>
      <c r="DI183" s="27"/>
      <c r="DJ183" s="27"/>
      <c r="DK183" s="27"/>
      <c r="DL183" s="27"/>
      <c r="DM183" s="27"/>
      <c r="DN183" s="27"/>
      <c r="DO183" s="27"/>
      <c r="DP183" s="27"/>
      <c r="DQ183" s="27"/>
      <c r="DR183" s="27"/>
      <c r="DS183" s="27"/>
      <c r="DT183" s="27"/>
      <c r="DU183" s="27"/>
      <c r="DV183" s="27"/>
      <c r="DW183" s="27"/>
      <c r="DX183" s="27"/>
      <c r="DY183" s="27"/>
      <c r="DZ183" s="27"/>
      <c r="EA183" s="27"/>
      <c r="EB183" s="27"/>
      <c r="EC183" s="27"/>
      <c r="ED183" s="27"/>
      <c r="EE183" s="27"/>
      <c r="EF183" s="27"/>
      <c r="EG183" s="27"/>
      <c r="EH183" s="27"/>
      <c r="EI183" s="27"/>
      <c r="EJ183" s="27"/>
      <c r="EK183" s="27"/>
      <c r="EL183" s="27"/>
      <c r="EM183" s="27"/>
      <c r="EN183" s="27"/>
      <c r="EO183" s="27"/>
      <c r="EP183" s="27"/>
      <c r="EQ183" s="27"/>
      <c r="ER183" s="27"/>
      <c r="ES183" s="27"/>
      <c r="ET183" s="27"/>
      <c r="EU183" s="27"/>
      <c r="EV183" s="27"/>
      <c r="EW183" s="27"/>
      <c r="EX183" s="27"/>
      <c r="EY183" s="27"/>
      <c r="EZ183" s="27"/>
      <c r="FA183" s="27"/>
      <c r="FB183" s="27"/>
      <c r="FC183" s="27"/>
      <c r="FD183" s="27"/>
      <c r="FE183" s="27"/>
      <c r="FF183" s="27"/>
      <c r="FG183" s="27"/>
      <c r="FH183" s="27"/>
      <c r="FI183" s="27"/>
      <c r="FJ183" s="27"/>
      <c r="FK183" s="27"/>
      <c r="FL183" s="27"/>
      <c r="FM183" s="27"/>
      <c r="FN183" s="27"/>
      <c r="FO183" s="27"/>
      <c r="FP183" s="27"/>
      <c r="FQ183" s="27"/>
      <c r="FR183" s="27"/>
      <c r="FS183" s="27"/>
      <c r="FT183" s="28"/>
      <c r="GC183" s="26"/>
      <c r="GD183" s="27"/>
      <c r="GE183" s="27"/>
      <c r="GF183" s="27"/>
      <c r="GG183" s="27"/>
      <c r="GH183" s="27"/>
      <c r="GI183" s="27"/>
      <c r="GJ183" s="27"/>
      <c r="GK183" s="27"/>
      <c r="GL183" s="27"/>
      <c r="GM183" s="27"/>
      <c r="GN183" s="27"/>
      <c r="GO183" s="27"/>
      <c r="GP183" s="27"/>
      <c r="GQ183" s="27"/>
      <c r="GR183" s="27"/>
      <c r="GS183" s="27"/>
      <c r="GT183" s="27"/>
      <c r="GU183" s="27"/>
      <c r="GV183" s="27"/>
      <c r="GW183" s="27"/>
      <c r="GX183" s="27"/>
      <c r="GY183" s="27"/>
      <c r="GZ183" s="27"/>
      <c r="HA183" s="27"/>
      <c r="HB183" s="27"/>
      <c r="HC183" s="27"/>
      <c r="HD183" s="27"/>
      <c r="HE183" s="27"/>
      <c r="HF183" s="27"/>
      <c r="HG183" s="27"/>
      <c r="HH183" s="27"/>
      <c r="HI183" s="27"/>
      <c r="HJ183" s="27"/>
      <c r="HK183" s="27"/>
      <c r="HL183" s="27"/>
      <c r="HM183" s="27"/>
      <c r="HN183" s="27"/>
      <c r="HO183" s="27"/>
      <c r="HP183" s="27"/>
      <c r="HQ183" s="27"/>
      <c r="HR183" s="27"/>
      <c r="HS183" s="27"/>
      <c r="HT183" s="27"/>
      <c r="HU183" s="27"/>
      <c r="HV183" s="27"/>
      <c r="HW183" s="27"/>
      <c r="HX183" s="27"/>
      <c r="HY183" s="27"/>
      <c r="HZ183" s="27"/>
      <c r="IA183" s="27"/>
      <c r="IB183" s="27"/>
      <c r="IC183" s="27"/>
      <c r="ID183" s="27"/>
      <c r="IE183" s="27"/>
      <c r="IF183" s="27"/>
      <c r="IG183" s="27"/>
      <c r="IH183" s="27"/>
      <c r="II183" s="27"/>
      <c r="IJ183" s="27"/>
      <c r="IK183" s="27"/>
      <c r="IL183" s="27"/>
      <c r="IM183" s="27"/>
      <c r="IN183" s="27"/>
      <c r="IO183" s="27"/>
      <c r="IP183" s="27"/>
      <c r="IQ183" s="27"/>
      <c r="IR183" s="27"/>
      <c r="IS183" s="27"/>
      <c r="IT183" s="27"/>
      <c r="IU183" s="27"/>
      <c r="IV183" s="27"/>
      <c r="IW183" s="27"/>
      <c r="IX183" s="27"/>
      <c r="IY183" s="27"/>
      <c r="IZ183" s="27"/>
      <c r="JA183" s="27"/>
      <c r="JB183" s="27"/>
      <c r="JC183" s="27"/>
      <c r="JD183" s="28"/>
    </row>
    <row r="184" spans="9:264" ht="7.5" customHeight="1" x14ac:dyDescent="0.25">
      <c r="I184" s="26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27"/>
      <c r="CH184" s="27"/>
      <c r="CI184" s="27"/>
      <c r="CJ184" s="28"/>
      <c r="CS184" s="26"/>
      <c r="CT184" s="27"/>
      <c r="CU184" s="27"/>
      <c r="CV184" s="27"/>
      <c r="CW184" s="27"/>
      <c r="CX184" s="27"/>
      <c r="CY184" s="27"/>
      <c r="CZ184" s="27"/>
      <c r="DA184" s="27"/>
      <c r="DB184" s="27"/>
      <c r="DC184" s="27"/>
      <c r="DD184" s="27"/>
      <c r="DE184" s="27"/>
      <c r="DF184" s="27"/>
      <c r="DG184" s="27"/>
      <c r="DH184" s="27"/>
      <c r="DI184" s="27"/>
      <c r="DJ184" s="27"/>
      <c r="DK184" s="27"/>
      <c r="DL184" s="27"/>
      <c r="DM184" s="27"/>
      <c r="DN184" s="27"/>
      <c r="DO184" s="27"/>
      <c r="DP184" s="27"/>
      <c r="DQ184" s="27"/>
      <c r="DR184" s="27"/>
      <c r="DS184" s="27"/>
      <c r="DT184" s="27"/>
      <c r="DU184" s="27"/>
      <c r="DV184" s="27"/>
      <c r="DW184" s="27"/>
      <c r="DX184" s="27"/>
      <c r="DY184" s="27"/>
      <c r="DZ184" s="27"/>
      <c r="EA184" s="27"/>
      <c r="EB184" s="27"/>
      <c r="EC184" s="27"/>
      <c r="ED184" s="27"/>
      <c r="EE184" s="27"/>
      <c r="EF184" s="27"/>
      <c r="EG184" s="27"/>
      <c r="EH184" s="27"/>
      <c r="EI184" s="27"/>
      <c r="EJ184" s="27"/>
      <c r="EK184" s="27"/>
      <c r="EL184" s="27"/>
      <c r="EM184" s="27"/>
      <c r="EN184" s="27"/>
      <c r="EO184" s="27"/>
      <c r="EP184" s="27"/>
      <c r="EQ184" s="27"/>
      <c r="ER184" s="27"/>
      <c r="ES184" s="27"/>
      <c r="ET184" s="27"/>
      <c r="EU184" s="27"/>
      <c r="EV184" s="27"/>
      <c r="EW184" s="27"/>
      <c r="EX184" s="27"/>
      <c r="EY184" s="27"/>
      <c r="EZ184" s="27"/>
      <c r="FA184" s="27"/>
      <c r="FB184" s="27"/>
      <c r="FC184" s="27"/>
      <c r="FD184" s="27"/>
      <c r="FE184" s="27"/>
      <c r="FF184" s="27"/>
      <c r="FG184" s="27"/>
      <c r="FH184" s="27"/>
      <c r="FI184" s="27"/>
      <c r="FJ184" s="27"/>
      <c r="FK184" s="27"/>
      <c r="FL184" s="27"/>
      <c r="FM184" s="27"/>
      <c r="FN184" s="27"/>
      <c r="FO184" s="27"/>
      <c r="FP184" s="27"/>
      <c r="FQ184" s="27"/>
      <c r="FR184" s="27"/>
      <c r="FS184" s="27"/>
      <c r="FT184" s="28"/>
      <c r="GC184" s="26"/>
      <c r="GD184" s="27"/>
      <c r="GE184" s="27"/>
      <c r="GF184" s="27"/>
      <c r="GG184" s="27"/>
      <c r="GH184" s="27"/>
      <c r="GI184" s="27"/>
      <c r="GJ184" s="27"/>
      <c r="GK184" s="27"/>
      <c r="GL184" s="27"/>
      <c r="GM184" s="27"/>
      <c r="GN184" s="27"/>
      <c r="GO184" s="27"/>
      <c r="GP184" s="27"/>
      <c r="GQ184" s="27"/>
      <c r="GR184" s="27"/>
      <c r="GS184" s="27"/>
      <c r="GT184" s="27"/>
      <c r="GU184" s="27"/>
      <c r="GV184" s="27"/>
      <c r="GW184" s="27"/>
      <c r="GX184" s="27"/>
      <c r="GY184" s="27"/>
      <c r="GZ184" s="27"/>
      <c r="HA184" s="27"/>
      <c r="HB184" s="27"/>
      <c r="HC184" s="27"/>
      <c r="HD184" s="27"/>
      <c r="HE184" s="27"/>
      <c r="HF184" s="27"/>
      <c r="HG184" s="27"/>
      <c r="HH184" s="27"/>
      <c r="HI184" s="27"/>
      <c r="HJ184" s="27"/>
      <c r="HK184" s="27"/>
      <c r="HL184" s="27"/>
      <c r="HM184" s="27"/>
      <c r="HN184" s="27"/>
      <c r="HO184" s="27"/>
      <c r="HP184" s="27"/>
      <c r="HQ184" s="27"/>
      <c r="HR184" s="27"/>
      <c r="HS184" s="27"/>
      <c r="HT184" s="27"/>
      <c r="HU184" s="27"/>
      <c r="HV184" s="27"/>
      <c r="HW184" s="27"/>
      <c r="HX184" s="27"/>
      <c r="HY184" s="27"/>
      <c r="HZ184" s="27"/>
      <c r="IA184" s="27"/>
      <c r="IB184" s="27"/>
      <c r="IC184" s="27"/>
      <c r="ID184" s="27"/>
      <c r="IE184" s="27"/>
      <c r="IF184" s="27"/>
      <c r="IG184" s="27"/>
      <c r="IH184" s="27"/>
      <c r="II184" s="27"/>
      <c r="IJ184" s="27"/>
      <c r="IK184" s="27"/>
      <c r="IL184" s="27"/>
      <c r="IM184" s="27"/>
      <c r="IN184" s="27"/>
      <c r="IO184" s="27"/>
      <c r="IP184" s="27"/>
      <c r="IQ184" s="27"/>
      <c r="IR184" s="27"/>
      <c r="IS184" s="27"/>
      <c r="IT184" s="27"/>
      <c r="IU184" s="27"/>
      <c r="IV184" s="27"/>
      <c r="IW184" s="27"/>
      <c r="IX184" s="27"/>
      <c r="IY184" s="27"/>
      <c r="IZ184" s="27"/>
      <c r="JA184" s="27"/>
      <c r="JB184" s="27"/>
      <c r="JC184" s="27"/>
      <c r="JD184" s="28"/>
    </row>
    <row r="185" spans="9:264" ht="7.5" customHeight="1" x14ac:dyDescent="0.25">
      <c r="I185" s="26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27"/>
      <c r="CH185" s="27"/>
      <c r="CI185" s="27"/>
      <c r="CJ185" s="28"/>
      <c r="CS185" s="26"/>
      <c r="CT185" s="27"/>
      <c r="CU185" s="27"/>
      <c r="CV185" s="27"/>
      <c r="CW185" s="27"/>
      <c r="CX185" s="27"/>
      <c r="CY185" s="27"/>
      <c r="CZ185" s="27"/>
      <c r="DA185" s="27"/>
      <c r="DB185" s="27"/>
      <c r="DC185" s="27"/>
      <c r="DD185" s="27"/>
      <c r="DE185" s="27"/>
      <c r="DF185" s="27"/>
      <c r="DG185" s="27"/>
      <c r="DH185" s="27"/>
      <c r="DI185" s="27"/>
      <c r="DJ185" s="27"/>
      <c r="DK185" s="27"/>
      <c r="DL185" s="27"/>
      <c r="DM185" s="27"/>
      <c r="DN185" s="27"/>
      <c r="DO185" s="27"/>
      <c r="DP185" s="27"/>
      <c r="DQ185" s="27"/>
      <c r="DR185" s="27"/>
      <c r="DS185" s="27"/>
      <c r="DT185" s="27"/>
      <c r="DU185" s="27"/>
      <c r="DV185" s="27"/>
      <c r="DW185" s="27"/>
      <c r="DX185" s="27"/>
      <c r="DY185" s="27"/>
      <c r="DZ185" s="27"/>
      <c r="EA185" s="27"/>
      <c r="EB185" s="27"/>
      <c r="EC185" s="27"/>
      <c r="ED185" s="27"/>
      <c r="EE185" s="27"/>
      <c r="EF185" s="27"/>
      <c r="EG185" s="27"/>
      <c r="EH185" s="27"/>
      <c r="EI185" s="27"/>
      <c r="EJ185" s="27"/>
      <c r="EK185" s="27"/>
      <c r="EL185" s="27"/>
      <c r="EM185" s="27"/>
      <c r="EN185" s="27"/>
      <c r="EO185" s="27"/>
      <c r="EP185" s="27"/>
      <c r="EQ185" s="27"/>
      <c r="ER185" s="27"/>
      <c r="ES185" s="27"/>
      <c r="ET185" s="27"/>
      <c r="EU185" s="27"/>
      <c r="EV185" s="27"/>
      <c r="EW185" s="27"/>
      <c r="EX185" s="27"/>
      <c r="EY185" s="27"/>
      <c r="EZ185" s="27"/>
      <c r="FA185" s="27"/>
      <c r="FB185" s="27"/>
      <c r="FC185" s="27"/>
      <c r="FD185" s="27"/>
      <c r="FE185" s="27"/>
      <c r="FF185" s="27"/>
      <c r="FG185" s="27"/>
      <c r="FH185" s="27"/>
      <c r="FI185" s="27"/>
      <c r="FJ185" s="27"/>
      <c r="FK185" s="27"/>
      <c r="FL185" s="27"/>
      <c r="FM185" s="27"/>
      <c r="FN185" s="27"/>
      <c r="FO185" s="27"/>
      <c r="FP185" s="27"/>
      <c r="FQ185" s="27"/>
      <c r="FR185" s="27"/>
      <c r="FS185" s="27"/>
      <c r="FT185" s="28"/>
      <c r="GC185" s="26"/>
      <c r="GD185" s="27"/>
      <c r="GE185" s="27"/>
      <c r="GF185" s="27"/>
      <c r="GG185" s="27"/>
      <c r="GH185" s="27"/>
      <c r="GI185" s="27"/>
      <c r="GJ185" s="27"/>
      <c r="GK185" s="27"/>
      <c r="GL185" s="27"/>
      <c r="GM185" s="27"/>
      <c r="GN185" s="27"/>
      <c r="GO185" s="27"/>
      <c r="GP185" s="27"/>
      <c r="GQ185" s="27"/>
      <c r="GR185" s="27"/>
      <c r="GS185" s="27"/>
      <c r="GT185" s="27"/>
      <c r="GU185" s="27"/>
      <c r="GV185" s="27"/>
      <c r="GW185" s="27"/>
      <c r="GX185" s="27"/>
      <c r="GY185" s="27"/>
      <c r="GZ185" s="27"/>
      <c r="HA185" s="27"/>
      <c r="HB185" s="27"/>
      <c r="HC185" s="27"/>
      <c r="HD185" s="27"/>
      <c r="HE185" s="27"/>
      <c r="HF185" s="27"/>
      <c r="HG185" s="27"/>
      <c r="HH185" s="27"/>
      <c r="HI185" s="27"/>
      <c r="HJ185" s="27"/>
      <c r="HK185" s="27"/>
      <c r="HL185" s="27"/>
      <c r="HM185" s="27"/>
      <c r="HN185" s="27"/>
      <c r="HO185" s="27"/>
      <c r="HP185" s="27"/>
      <c r="HQ185" s="27"/>
      <c r="HR185" s="27"/>
      <c r="HS185" s="27"/>
      <c r="HT185" s="27"/>
      <c r="HU185" s="27"/>
      <c r="HV185" s="27"/>
      <c r="HW185" s="27"/>
      <c r="HX185" s="27"/>
      <c r="HY185" s="27"/>
      <c r="HZ185" s="27"/>
      <c r="IA185" s="27"/>
      <c r="IB185" s="27"/>
      <c r="IC185" s="27"/>
      <c r="ID185" s="27"/>
      <c r="IE185" s="27"/>
      <c r="IF185" s="27"/>
      <c r="IG185" s="27"/>
      <c r="IH185" s="27"/>
      <c r="II185" s="27"/>
      <c r="IJ185" s="27"/>
      <c r="IK185" s="27"/>
      <c r="IL185" s="27"/>
      <c r="IM185" s="27"/>
      <c r="IN185" s="27"/>
      <c r="IO185" s="27"/>
      <c r="IP185" s="27"/>
      <c r="IQ185" s="27"/>
      <c r="IR185" s="27"/>
      <c r="IS185" s="27"/>
      <c r="IT185" s="27"/>
      <c r="IU185" s="27"/>
      <c r="IV185" s="27"/>
      <c r="IW185" s="27"/>
      <c r="IX185" s="27"/>
      <c r="IY185" s="27"/>
      <c r="IZ185" s="27"/>
      <c r="JA185" s="27"/>
      <c r="JB185" s="27"/>
      <c r="JC185" s="27"/>
      <c r="JD185" s="28"/>
    </row>
    <row r="186" spans="9:264" ht="7.5" customHeight="1" x14ac:dyDescent="0.25">
      <c r="I186" s="26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27"/>
      <c r="CH186" s="27"/>
      <c r="CI186" s="27"/>
      <c r="CJ186" s="28"/>
      <c r="CS186" s="26"/>
      <c r="CT186" s="27"/>
      <c r="CU186" s="27"/>
      <c r="CV186" s="27"/>
      <c r="CW186" s="27"/>
      <c r="CX186" s="27"/>
      <c r="CY186" s="27"/>
      <c r="CZ186" s="27"/>
      <c r="DA186" s="27"/>
      <c r="DB186" s="27"/>
      <c r="DC186" s="27"/>
      <c r="DD186" s="27"/>
      <c r="DE186" s="27"/>
      <c r="DF186" s="27"/>
      <c r="DG186" s="27"/>
      <c r="DH186" s="27"/>
      <c r="DI186" s="27"/>
      <c r="DJ186" s="27"/>
      <c r="DK186" s="27"/>
      <c r="DL186" s="27"/>
      <c r="DM186" s="27"/>
      <c r="DN186" s="27"/>
      <c r="DO186" s="27"/>
      <c r="DP186" s="27"/>
      <c r="DQ186" s="27"/>
      <c r="DR186" s="27"/>
      <c r="DS186" s="27"/>
      <c r="DT186" s="27"/>
      <c r="DU186" s="27"/>
      <c r="DV186" s="27"/>
      <c r="DW186" s="27"/>
      <c r="DX186" s="27"/>
      <c r="DY186" s="27"/>
      <c r="DZ186" s="27"/>
      <c r="EA186" s="27"/>
      <c r="EB186" s="27"/>
      <c r="EC186" s="27"/>
      <c r="ED186" s="27"/>
      <c r="EE186" s="27"/>
      <c r="EF186" s="27"/>
      <c r="EG186" s="27"/>
      <c r="EH186" s="27"/>
      <c r="EI186" s="27"/>
      <c r="EJ186" s="27"/>
      <c r="EK186" s="27"/>
      <c r="EL186" s="27"/>
      <c r="EM186" s="27"/>
      <c r="EN186" s="27"/>
      <c r="EO186" s="27"/>
      <c r="EP186" s="27"/>
      <c r="EQ186" s="27"/>
      <c r="ER186" s="27"/>
      <c r="ES186" s="27"/>
      <c r="ET186" s="27"/>
      <c r="EU186" s="27"/>
      <c r="EV186" s="27"/>
      <c r="EW186" s="27"/>
      <c r="EX186" s="27"/>
      <c r="EY186" s="27"/>
      <c r="EZ186" s="27"/>
      <c r="FA186" s="27"/>
      <c r="FB186" s="27"/>
      <c r="FC186" s="27"/>
      <c r="FD186" s="27"/>
      <c r="FE186" s="27"/>
      <c r="FF186" s="27"/>
      <c r="FG186" s="27"/>
      <c r="FH186" s="27"/>
      <c r="FI186" s="27"/>
      <c r="FJ186" s="27"/>
      <c r="FK186" s="27"/>
      <c r="FL186" s="27"/>
      <c r="FM186" s="27"/>
      <c r="FN186" s="27"/>
      <c r="FO186" s="27"/>
      <c r="FP186" s="27"/>
      <c r="FQ186" s="27"/>
      <c r="FR186" s="27"/>
      <c r="FS186" s="27"/>
      <c r="FT186" s="28"/>
      <c r="GC186" s="26"/>
      <c r="GD186" s="27"/>
      <c r="GE186" s="27"/>
      <c r="GF186" s="27"/>
      <c r="GG186" s="27"/>
      <c r="GH186" s="27"/>
      <c r="GI186" s="27"/>
      <c r="GJ186" s="27"/>
      <c r="GK186" s="27"/>
      <c r="GL186" s="27"/>
      <c r="GM186" s="27"/>
      <c r="GN186" s="27"/>
      <c r="GO186" s="27"/>
      <c r="GP186" s="27"/>
      <c r="GQ186" s="27"/>
      <c r="GR186" s="27"/>
      <c r="GS186" s="27"/>
      <c r="GT186" s="27"/>
      <c r="GU186" s="27"/>
      <c r="GV186" s="27"/>
      <c r="GW186" s="27"/>
      <c r="GX186" s="27"/>
      <c r="GY186" s="27"/>
      <c r="GZ186" s="27"/>
      <c r="HA186" s="27"/>
      <c r="HB186" s="27"/>
      <c r="HC186" s="27"/>
      <c r="HD186" s="27"/>
      <c r="HE186" s="27"/>
      <c r="HF186" s="27"/>
      <c r="HG186" s="27"/>
      <c r="HH186" s="27"/>
      <c r="HI186" s="27"/>
      <c r="HJ186" s="27"/>
      <c r="HK186" s="27"/>
      <c r="HL186" s="27"/>
      <c r="HM186" s="27"/>
      <c r="HN186" s="27"/>
      <c r="HO186" s="27"/>
      <c r="HP186" s="27"/>
      <c r="HQ186" s="27"/>
      <c r="HR186" s="27"/>
      <c r="HS186" s="27"/>
      <c r="HT186" s="27"/>
      <c r="HU186" s="27"/>
      <c r="HV186" s="27"/>
      <c r="HW186" s="27"/>
      <c r="HX186" s="27"/>
      <c r="HY186" s="27"/>
      <c r="HZ186" s="27"/>
      <c r="IA186" s="27"/>
      <c r="IB186" s="27"/>
      <c r="IC186" s="27"/>
      <c r="ID186" s="27"/>
      <c r="IE186" s="27"/>
      <c r="IF186" s="27"/>
      <c r="IG186" s="27"/>
      <c r="IH186" s="27"/>
      <c r="II186" s="27"/>
      <c r="IJ186" s="27"/>
      <c r="IK186" s="27"/>
      <c r="IL186" s="27"/>
      <c r="IM186" s="27"/>
      <c r="IN186" s="27"/>
      <c r="IO186" s="27"/>
      <c r="IP186" s="27"/>
      <c r="IQ186" s="27"/>
      <c r="IR186" s="27"/>
      <c r="IS186" s="27"/>
      <c r="IT186" s="27"/>
      <c r="IU186" s="27"/>
      <c r="IV186" s="27"/>
      <c r="IW186" s="27"/>
      <c r="IX186" s="27"/>
      <c r="IY186" s="27"/>
      <c r="IZ186" s="27"/>
      <c r="JA186" s="27"/>
      <c r="JB186" s="27"/>
      <c r="JC186" s="27"/>
      <c r="JD186" s="28"/>
    </row>
    <row r="187" spans="9:264" ht="7.5" customHeight="1" x14ac:dyDescent="0.25">
      <c r="I187" s="26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27"/>
      <c r="CH187" s="27"/>
      <c r="CI187" s="27"/>
      <c r="CJ187" s="28"/>
      <c r="CS187" s="26"/>
      <c r="CT187" s="27"/>
      <c r="CU187" s="27"/>
      <c r="CV187" s="27"/>
      <c r="CW187" s="27"/>
      <c r="CX187" s="27"/>
      <c r="CY187" s="27"/>
      <c r="CZ187" s="27"/>
      <c r="DA187" s="27"/>
      <c r="DB187" s="27"/>
      <c r="DC187" s="27"/>
      <c r="DD187" s="27"/>
      <c r="DE187" s="27"/>
      <c r="DF187" s="27"/>
      <c r="DG187" s="27"/>
      <c r="DH187" s="27"/>
      <c r="DI187" s="27"/>
      <c r="DJ187" s="27"/>
      <c r="DK187" s="27"/>
      <c r="DL187" s="27"/>
      <c r="DM187" s="27"/>
      <c r="DN187" s="27"/>
      <c r="DO187" s="27"/>
      <c r="DP187" s="27"/>
      <c r="DQ187" s="27"/>
      <c r="DR187" s="27"/>
      <c r="DS187" s="27"/>
      <c r="DT187" s="27"/>
      <c r="DU187" s="27"/>
      <c r="DV187" s="27"/>
      <c r="DW187" s="27"/>
      <c r="DX187" s="27"/>
      <c r="DY187" s="27"/>
      <c r="DZ187" s="27"/>
      <c r="EA187" s="27"/>
      <c r="EB187" s="27"/>
      <c r="EC187" s="27"/>
      <c r="ED187" s="27"/>
      <c r="EE187" s="27"/>
      <c r="EF187" s="27"/>
      <c r="EG187" s="27"/>
      <c r="EH187" s="27"/>
      <c r="EI187" s="27"/>
      <c r="EJ187" s="27"/>
      <c r="EK187" s="27"/>
      <c r="EL187" s="27"/>
      <c r="EM187" s="27"/>
      <c r="EN187" s="27"/>
      <c r="EO187" s="27"/>
      <c r="EP187" s="27"/>
      <c r="EQ187" s="27"/>
      <c r="ER187" s="27"/>
      <c r="ES187" s="27"/>
      <c r="ET187" s="27"/>
      <c r="EU187" s="27"/>
      <c r="EV187" s="27"/>
      <c r="EW187" s="27"/>
      <c r="EX187" s="27"/>
      <c r="EY187" s="27"/>
      <c r="EZ187" s="27"/>
      <c r="FA187" s="27"/>
      <c r="FB187" s="27"/>
      <c r="FC187" s="27"/>
      <c r="FD187" s="27"/>
      <c r="FE187" s="27"/>
      <c r="FF187" s="27"/>
      <c r="FG187" s="27"/>
      <c r="FH187" s="27"/>
      <c r="FI187" s="27"/>
      <c r="FJ187" s="27"/>
      <c r="FK187" s="27"/>
      <c r="FL187" s="27"/>
      <c r="FM187" s="27"/>
      <c r="FN187" s="27"/>
      <c r="FO187" s="27"/>
      <c r="FP187" s="27"/>
      <c r="FQ187" s="27"/>
      <c r="FR187" s="27"/>
      <c r="FS187" s="27"/>
      <c r="FT187" s="28"/>
      <c r="GC187" s="26"/>
      <c r="GD187" s="27"/>
      <c r="GE187" s="27"/>
      <c r="GF187" s="27"/>
      <c r="GG187" s="27"/>
      <c r="GH187" s="27"/>
      <c r="GI187" s="27"/>
      <c r="GJ187" s="27"/>
      <c r="GK187" s="27"/>
      <c r="GL187" s="27"/>
      <c r="GM187" s="27"/>
      <c r="GN187" s="27"/>
      <c r="GO187" s="27"/>
      <c r="GP187" s="27"/>
      <c r="GQ187" s="27"/>
      <c r="GR187" s="27"/>
      <c r="GS187" s="27"/>
      <c r="GT187" s="27"/>
      <c r="GU187" s="27"/>
      <c r="GV187" s="27"/>
      <c r="GW187" s="27"/>
      <c r="GX187" s="27"/>
      <c r="GY187" s="27"/>
      <c r="GZ187" s="27"/>
      <c r="HA187" s="27"/>
      <c r="HB187" s="27"/>
      <c r="HC187" s="27"/>
      <c r="HD187" s="27"/>
      <c r="HE187" s="27"/>
      <c r="HF187" s="27"/>
      <c r="HG187" s="27"/>
      <c r="HH187" s="27"/>
      <c r="HI187" s="27"/>
      <c r="HJ187" s="27"/>
      <c r="HK187" s="27"/>
      <c r="HL187" s="27"/>
      <c r="HM187" s="27"/>
      <c r="HN187" s="27"/>
      <c r="HO187" s="27"/>
      <c r="HP187" s="27"/>
      <c r="HQ187" s="27"/>
      <c r="HR187" s="27"/>
      <c r="HS187" s="27"/>
      <c r="HT187" s="27"/>
      <c r="HU187" s="27"/>
      <c r="HV187" s="27"/>
      <c r="HW187" s="27"/>
      <c r="HX187" s="27"/>
      <c r="HY187" s="27"/>
      <c r="HZ187" s="27"/>
      <c r="IA187" s="27"/>
      <c r="IB187" s="27"/>
      <c r="IC187" s="27"/>
      <c r="ID187" s="27"/>
      <c r="IE187" s="27"/>
      <c r="IF187" s="27"/>
      <c r="IG187" s="27"/>
      <c r="IH187" s="27"/>
      <c r="II187" s="27"/>
      <c r="IJ187" s="27"/>
      <c r="IK187" s="27"/>
      <c r="IL187" s="27"/>
      <c r="IM187" s="27"/>
      <c r="IN187" s="27"/>
      <c r="IO187" s="27"/>
      <c r="IP187" s="27"/>
      <c r="IQ187" s="27"/>
      <c r="IR187" s="27"/>
      <c r="IS187" s="27"/>
      <c r="IT187" s="27"/>
      <c r="IU187" s="27"/>
      <c r="IV187" s="27"/>
      <c r="IW187" s="27"/>
      <c r="IX187" s="27"/>
      <c r="IY187" s="27"/>
      <c r="IZ187" s="27"/>
      <c r="JA187" s="27"/>
      <c r="JB187" s="27"/>
      <c r="JC187" s="27"/>
      <c r="JD187" s="28"/>
    </row>
    <row r="188" spans="9:264" ht="7.5" customHeight="1" x14ac:dyDescent="0.25">
      <c r="I188" s="26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27"/>
      <c r="CH188" s="27"/>
      <c r="CI188" s="27"/>
      <c r="CJ188" s="28"/>
      <c r="CS188" s="26"/>
      <c r="CT188" s="27"/>
      <c r="CU188" s="27"/>
      <c r="CV188" s="27"/>
      <c r="CW188" s="27"/>
      <c r="CX188" s="27"/>
      <c r="CY188" s="27"/>
      <c r="CZ188" s="27"/>
      <c r="DA188" s="27"/>
      <c r="DB188" s="27"/>
      <c r="DC188" s="27"/>
      <c r="DD188" s="27"/>
      <c r="DE188" s="27"/>
      <c r="DF188" s="27"/>
      <c r="DG188" s="27"/>
      <c r="DH188" s="27"/>
      <c r="DI188" s="27"/>
      <c r="DJ188" s="27"/>
      <c r="DK188" s="27"/>
      <c r="DL188" s="27"/>
      <c r="DM188" s="27"/>
      <c r="DN188" s="27"/>
      <c r="DO188" s="27"/>
      <c r="DP188" s="27"/>
      <c r="DQ188" s="27"/>
      <c r="DR188" s="27"/>
      <c r="DS188" s="27"/>
      <c r="DT188" s="27"/>
      <c r="DU188" s="27"/>
      <c r="DV188" s="27"/>
      <c r="DW188" s="27"/>
      <c r="DX188" s="27"/>
      <c r="DY188" s="27"/>
      <c r="DZ188" s="27"/>
      <c r="EA188" s="27"/>
      <c r="EB188" s="27"/>
      <c r="EC188" s="27"/>
      <c r="ED188" s="27"/>
      <c r="EE188" s="27"/>
      <c r="EF188" s="27"/>
      <c r="EG188" s="27"/>
      <c r="EH188" s="27"/>
      <c r="EI188" s="27"/>
      <c r="EJ188" s="27"/>
      <c r="EK188" s="27"/>
      <c r="EL188" s="27"/>
      <c r="EM188" s="27"/>
      <c r="EN188" s="27"/>
      <c r="EO188" s="27"/>
      <c r="EP188" s="27"/>
      <c r="EQ188" s="27"/>
      <c r="ER188" s="27"/>
      <c r="ES188" s="27"/>
      <c r="ET188" s="27"/>
      <c r="EU188" s="27"/>
      <c r="EV188" s="27"/>
      <c r="EW188" s="27"/>
      <c r="EX188" s="27"/>
      <c r="EY188" s="27"/>
      <c r="EZ188" s="27"/>
      <c r="FA188" s="27"/>
      <c r="FB188" s="27"/>
      <c r="FC188" s="27"/>
      <c r="FD188" s="27"/>
      <c r="FE188" s="27"/>
      <c r="FF188" s="27"/>
      <c r="FG188" s="27"/>
      <c r="FH188" s="27"/>
      <c r="FI188" s="27"/>
      <c r="FJ188" s="27"/>
      <c r="FK188" s="27"/>
      <c r="FL188" s="27"/>
      <c r="FM188" s="27"/>
      <c r="FN188" s="27"/>
      <c r="FO188" s="27"/>
      <c r="FP188" s="27"/>
      <c r="FQ188" s="27"/>
      <c r="FR188" s="27"/>
      <c r="FS188" s="27"/>
      <c r="FT188" s="28"/>
      <c r="GC188" s="26"/>
      <c r="GD188" s="27"/>
      <c r="GE188" s="27"/>
      <c r="GF188" s="27"/>
      <c r="GG188" s="27"/>
      <c r="GH188" s="27"/>
      <c r="GI188" s="27"/>
      <c r="GJ188" s="27"/>
      <c r="GK188" s="27"/>
      <c r="GL188" s="27"/>
      <c r="GM188" s="27"/>
      <c r="GN188" s="27"/>
      <c r="GO188" s="27"/>
      <c r="GP188" s="27"/>
      <c r="GQ188" s="27"/>
      <c r="GR188" s="27"/>
      <c r="GS188" s="27"/>
      <c r="GT188" s="27"/>
      <c r="GU188" s="27"/>
      <c r="GV188" s="27"/>
      <c r="GW188" s="27"/>
      <c r="GX188" s="27"/>
      <c r="GY188" s="27"/>
      <c r="GZ188" s="27"/>
      <c r="HA188" s="27"/>
      <c r="HB188" s="27"/>
      <c r="HC188" s="27"/>
      <c r="HD188" s="27"/>
      <c r="HE188" s="27"/>
      <c r="HF188" s="27"/>
      <c r="HG188" s="27"/>
      <c r="HH188" s="27"/>
      <c r="HI188" s="27"/>
      <c r="HJ188" s="27"/>
      <c r="HK188" s="27"/>
      <c r="HL188" s="27"/>
      <c r="HM188" s="27"/>
      <c r="HN188" s="27"/>
      <c r="HO188" s="27"/>
      <c r="HP188" s="27"/>
      <c r="HQ188" s="27"/>
      <c r="HR188" s="27"/>
      <c r="HS188" s="27"/>
      <c r="HT188" s="27"/>
      <c r="HU188" s="27"/>
      <c r="HV188" s="27"/>
      <c r="HW188" s="27"/>
      <c r="HX188" s="27"/>
      <c r="HY188" s="27"/>
      <c r="HZ188" s="27"/>
      <c r="IA188" s="27"/>
      <c r="IB188" s="27"/>
      <c r="IC188" s="27"/>
      <c r="ID188" s="27"/>
      <c r="IE188" s="27"/>
      <c r="IF188" s="27"/>
      <c r="IG188" s="27"/>
      <c r="IH188" s="27"/>
      <c r="II188" s="27"/>
      <c r="IJ188" s="27"/>
      <c r="IK188" s="27"/>
      <c r="IL188" s="27"/>
      <c r="IM188" s="27"/>
      <c r="IN188" s="27"/>
      <c r="IO188" s="27"/>
      <c r="IP188" s="27"/>
      <c r="IQ188" s="27"/>
      <c r="IR188" s="27"/>
      <c r="IS188" s="27"/>
      <c r="IT188" s="27"/>
      <c r="IU188" s="27"/>
      <c r="IV188" s="27"/>
      <c r="IW188" s="27"/>
      <c r="IX188" s="27"/>
      <c r="IY188" s="27"/>
      <c r="IZ188" s="27"/>
      <c r="JA188" s="27"/>
      <c r="JB188" s="27"/>
      <c r="JC188" s="27"/>
      <c r="JD188" s="28"/>
    </row>
    <row r="189" spans="9:264" ht="7.5" customHeight="1" x14ac:dyDescent="0.25">
      <c r="I189" s="26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27"/>
      <c r="CH189" s="27"/>
      <c r="CI189" s="27"/>
      <c r="CJ189" s="28"/>
      <c r="CS189" s="26"/>
      <c r="CT189" s="27"/>
      <c r="CU189" s="27"/>
      <c r="CV189" s="27"/>
      <c r="CW189" s="27"/>
      <c r="CX189" s="27"/>
      <c r="CY189" s="27"/>
      <c r="CZ189" s="27"/>
      <c r="DA189" s="27"/>
      <c r="DB189" s="27"/>
      <c r="DC189" s="27"/>
      <c r="DD189" s="27"/>
      <c r="DE189" s="27"/>
      <c r="DF189" s="27"/>
      <c r="DG189" s="27"/>
      <c r="DH189" s="27"/>
      <c r="DI189" s="27"/>
      <c r="DJ189" s="27"/>
      <c r="DK189" s="27"/>
      <c r="DL189" s="27"/>
      <c r="DM189" s="27"/>
      <c r="DN189" s="27"/>
      <c r="DO189" s="27"/>
      <c r="DP189" s="27"/>
      <c r="DQ189" s="27"/>
      <c r="DR189" s="27"/>
      <c r="DS189" s="27"/>
      <c r="DT189" s="27"/>
      <c r="DU189" s="27"/>
      <c r="DV189" s="27"/>
      <c r="DW189" s="27"/>
      <c r="DX189" s="27"/>
      <c r="DY189" s="27"/>
      <c r="DZ189" s="27"/>
      <c r="EA189" s="27"/>
      <c r="EB189" s="27"/>
      <c r="EC189" s="27"/>
      <c r="ED189" s="27"/>
      <c r="EE189" s="27"/>
      <c r="EF189" s="27"/>
      <c r="EG189" s="27"/>
      <c r="EH189" s="27"/>
      <c r="EI189" s="27"/>
      <c r="EJ189" s="27"/>
      <c r="EK189" s="27"/>
      <c r="EL189" s="27"/>
      <c r="EM189" s="27"/>
      <c r="EN189" s="27"/>
      <c r="EO189" s="27"/>
      <c r="EP189" s="27"/>
      <c r="EQ189" s="27"/>
      <c r="ER189" s="27"/>
      <c r="ES189" s="27"/>
      <c r="ET189" s="27"/>
      <c r="EU189" s="27"/>
      <c r="EV189" s="27"/>
      <c r="EW189" s="27"/>
      <c r="EX189" s="27"/>
      <c r="EY189" s="27"/>
      <c r="EZ189" s="27"/>
      <c r="FA189" s="27"/>
      <c r="FB189" s="27"/>
      <c r="FC189" s="27"/>
      <c r="FD189" s="27"/>
      <c r="FE189" s="27"/>
      <c r="FF189" s="27"/>
      <c r="FG189" s="27"/>
      <c r="FH189" s="27"/>
      <c r="FI189" s="27"/>
      <c r="FJ189" s="27"/>
      <c r="FK189" s="27"/>
      <c r="FL189" s="27"/>
      <c r="FM189" s="27"/>
      <c r="FN189" s="27"/>
      <c r="FO189" s="27"/>
      <c r="FP189" s="27"/>
      <c r="FQ189" s="27"/>
      <c r="FR189" s="27"/>
      <c r="FS189" s="27"/>
      <c r="FT189" s="28"/>
      <c r="GC189" s="26"/>
      <c r="GD189" s="27"/>
      <c r="GE189" s="27"/>
      <c r="GF189" s="27"/>
      <c r="GG189" s="27"/>
      <c r="GH189" s="27"/>
      <c r="GI189" s="27"/>
      <c r="GJ189" s="27"/>
      <c r="GK189" s="27"/>
      <c r="GL189" s="27"/>
      <c r="GM189" s="27"/>
      <c r="GN189" s="27"/>
      <c r="GO189" s="27"/>
      <c r="GP189" s="27"/>
      <c r="GQ189" s="27"/>
      <c r="GR189" s="27"/>
      <c r="GS189" s="27"/>
      <c r="GT189" s="27"/>
      <c r="GU189" s="27"/>
      <c r="GV189" s="27"/>
      <c r="GW189" s="27"/>
      <c r="GX189" s="27"/>
      <c r="GY189" s="27"/>
      <c r="GZ189" s="27"/>
      <c r="HA189" s="27"/>
      <c r="HB189" s="27"/>
      <c r="HC189" s="27"/>
      <c r="HD189" s="27"/>
      <c r="HE189" s="27"/>
      <c r="HF189" s="27"/>
      <c r="HG189" s="27"/>
      <c r="HH189" s="27"/>
      <c r="HI189" s="27"/>
      <c r="HJ189" s="27"/>
      <c r="HK189" s="27"/>
      <c r="HL189" s="27"/>
      <c r="HM189" s="27"/>
      <c r="HN189" s="27"/>
      <c r="HO189" s="27"/>
      <c r="HP189" s="27"/>
      <c r="HQ189" s="27"/>
      <c r="HR189" s="27"/>
      <c r="HS189" s="27"/>
      <c r="HT189" s="27"/>
      <c r="HU189" s="27"/>
      <c r="HV189" s="27"/>
      <c r="HW189" s="27"/>
      <c r="HX189" s="27"/>
      <c r="HY189" s="27"/>
      <c r="HZ189" s="27"/>
      <c r="IA189" s="27"/>
      <c r="IB189" s="27"/>
      <c r="IC189" s="27"/>
      <c r="ID189" s="27"/>
      <c r="IE189" s="27"/>
      <c r="IF189" s="27"/>
      <c r="IG189" s="27"/>
      <c r="IH189" s="27"/>
      <c r="II189" s="27"/>
      <c r="IJ189" s="27"/>
      <c r="IK189" s="27"/>
      <c r="IL189" s="27"/>
      <c r="IM189" s="27"/>
      <c r="IN189" s="27"/>
      <c r="IO189" s="27"/>
      <c r="IP189" s="27"/>
      <c r="IQ189" s="27"/>
      <c r="IR189" s="27"/>
      <c r="IS189" s="27"/>
      <c r="IT189" s="27"/>
      <c r="IU189" s="27"/>
      <c r="IV189" s="27"/>
      <c r="IW189" s="27"/>
      <c r="IX189" s="27"/>
      <c r="IY189" s="27"/>
      <c r="IZ189" s="27"/>
      <c r="JA189" s="27"/>
      <c r="JB189" s="27"/>
      <c r="JC189" s="27"/>
      <c r="JD189" s="28"/>
    </row>
    <row r="190" spans="9:264" ht="7.5" customHeight="1" x14ac:dyDescent="0.25">
      <c r="I190" s="26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27"/>
      <c r="CH190" s="27"/>
      <c r="CI190" s="27"/>
      <c r="CJ190" s="28"/>
      <c r="CS190" s="26"/>
      <c r="CT190" s="27"/>
      <c r="CU190" s="27"/>
      <c r="CV190" s="27"/>
      <c r="CW190" s="27"/>
      <c r="CX190" s="27"/>
      <c r="CY190" s="27"/>
      <c r="CZ190" s="27"/>
      <c r="DA190" s="27"/>
      <c r="DB190" s="27"/>
      <c r="DC190" s="27"/>
      <c r="DD190" s="27"/>
      <c r="DE190" s="27"/>
      <c r="DF190" s="27"/>
      <c r="DG190" s="27"/>
      <c r="DH190" s="27"/>
      <c r="DI190" s="27"/>
      <c r="DJ190" s="27"/>
      <c r="DK190" s="27"/>
      <c r="DL190" s="27"/>
      <c r="DM190" s="27"/>
      <c r="DN190" s="27"/>
      <c r="DO190" s="27"/>
      <c r="DP190" s="27"/>
      <c r="DQ190" s="27"/>
      <c r="DR190" s="27"/>
      <c r="DS190" s="27"/>
      <c r="DT190" s="27"/>
      <c r="DU190" s="27"/>
      <c r="DV190" s="27"/>
      <c r="DW190" s="27"/>
      <c r="DX190" s="27"/>
      <c r="DY190" s="27"/>
      <c r="DZ190" s="27"/>
      <c r="EA190" s="27"/>
      <c r="EB190" s="27"/>
      <c r="EC190" s="27"/>
      <c r="ED190" s="27"/>
      <c r="EE190" s="27"/>
      <c r="EF190" s="27"/>
      <c r="EG190" s="27"/>
      <c r="EH190" s="27"/>
      <c r="EI190" s="27"/>
      <c r="EJ190" s="27"/>
      <c r="EK190" s="27"/>
      <c r="EL190" s="27"/>
      <c r="EM190" s="27"/>
      <c r="EN190" s="27"/>
      <c r="EO190" s="27"/>
      <c r="EP190" s="27"/>
      <c r="EQ190" s="27"/>
      <c r="ER190" s="27"/>
      <c r="ES190" s="27"/>
      <c r="ET190" s="27"/>
      <c r="EU190" s="27"/>
      <c r="EV190" s="27"/>
      <c r="EW190" s="27"/>
      <c r="EX190" s="27"/>
      <c r="EY190" s="27"/>
      <c r="EZ190" s="27"/>
      <c r="FA190" s="27"/>
      <c r="FB190" s="27"/>
      <c r="FC190" s="27"/>
      <c r="FD190" s="27"/>
      <c r="FE190" s="27"/>
      <c r="FF190" s="27"/>
      <c r="FG190" s="27"/>
      <c r="FH190" s="27"/>
      <c r="FI190" s="27"/>
      <c r="FJ190" s="27"/>
      <c r="FK190" s="27"/>
      <c r="FL190" s="27"/>
      <c r="FM190" s="27"/>
      <c r="FN190" s="27"/>
      <c r="FO190" s="27"/>
      <c r="FP190" s="27"/>
      <c r="FQ190" s="27"/>
      <c r="FR190" s="27"/>
      <c r="FS190" s="27"/>
      <c r="FT190" s="28"/>
      <c r="GC190" s="26"/>
      <c r="GD190" s="27"/>
      <c r="GE190" s="27"/>
      <c r="GF190" s="27"/>
      <c r="GG190" s="27"/>
      <c r="GH190" s="27"/>
      <c r="GI190" s="27"/>
      <c r="GJ190" s="27"/>
      <c r="GK190" s="27"/>
      <c r="GL190" s="27"/>
      <c r="GM190" s="27"/>
      <c r="GN190" s="27"/>
      <c r="GO190" s="27"/>
      <c r="GP190" s="27"/>
      <c r="GQ190" s="27"/>
      <c r="GR190" s="27"/>
      <c r="GS190" s="27"/>
      <c r="GT190" s="27"/>
      <c r="GU190" s="27"/>
      <c r="GV190" s="27"/>
      <c r="GW190" s="27"/>
      <c r="GX190" s="27"/>
      <c r="GY190" s="27"/>
      <c r="GZ190" s="27"/>
      <c r="HA190" s="27"/>
      <c r="HB190" s="27"/>
      <c r="HC190" s="27"/>
      <c r="HD190" s="27"/>
      <c r="HE190" s="27"/>
      <c r="HF190" s="27"/>
      <c r="HG190" s="27"/>
      <c r="HH190" s="27"/>
      <c r="HI190" s="27"/>
      <c r="HJ190" s="27"/>
      <c r="HK190" s="27"/>
      <c r="HL190" s="27"/>
      <c r="HM190" s="27"/>
      <c r="HN190" s="27"/>
      <c r="HO190" s="27"/>
      <c r="HP190" s="27"/>
      <c r="HQ190" s="27"/>
      <c r="HR190" s="27"/>
      <c r="HS190" s="27"/>
      <c r="HT190" s="27"/>
      <c r="HU190" s="27"/>
      <c r="HV190" s="27"/>
      <c r="HW190" s="27"/>
      <c r="HX190" s="27"/>
      <c r="HY190" s="27"/>
      <c r="HZ190" s="27"/>
      <c r="IA190" s="27"/>
      <c r="IB190" s="27"/>
      <c r="IC190" s="27"/>
      <c r="ID190" s="27"/>
      <c r="IE190" s="27"/>
      <c r="IF190" s="27"/>
      <c r="IG190" s="27"/>
      <c r="IH190" s="27"/>
      <c r="II190" s="27"/>
      <c r="IJ190" s="27"/>
      <c r="IK190" s="27"/>
      <c r="IL190" s="27"/>
      <c r="IM190" s="27"/>
      <c r="IN190" s="27"/>
      <c r="IO190" s="27"/>
      <c r="IP190" s="27"/>
      <c r="IQ190" s="27"/>
      <c r="IR190" s="27"/>
      <c r="IS190" s="27"/>
      <c r="IT190" s="27"/>
      <c r="IU190" s="27"/>
      <c r="IV190" s="27"/>
      <c r="IW190" s="27"/>
      <c r="IX190" s="27"/>
      <c r="IY190" s="27"/>
      <c r="IZ190" s="27"/>
      <c r="JA190" s="27"/>
      <c r="JB190" s="27"/>
      <c r="JC190" s="27"/>
      <c r="JD190" s="28"/>
    </row>
    <row r="191" spans="9:264" ht="7.5" customHeight="1" x14ac:dyDescent="0.25">
      <c r="I191" s="26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27"/>
      <c r="CH191" s="27"/>
      <c r="CI191" s="27"/>
      <c r="CJ191" s="28"/>
      <c r="CS191" s="26"/>
      <c r="CT191" s="27"/>
      <c r="CU191" s="27"/>
      <c r="CV191" s="27"/>
      <c r="CW191" s="27"/>
      <c r="CX191" s="27"/>
      <c r="CY191" s="27"/>
      <c r="CZ191" s="27"/>
      <c r="DA191" s="27"/>
      <c r="DB191" s="27"/>
      <c r="DC191" s="27"/>
      <c r="DD191" s="27"/>
      <c r="DE191" s="27"/>
      <c r="DF191" s="27"/>
      <c r="DG191" s="27"/>
      <c r="DH191" s="27"/>
      <c r="DI191" s="27"/>
      <c r="DJ191" s="27"/>
      <c r="DK191" s="27"/>
      <c r="DL191" s="27"/>
      <c r="DM191" s="27"/>
      <c r="DN191" s="27"/>
      <c r="DO191" s="27"/>
      <c r="DP191" s="27"/>
      <c r="DQ191" s="27"/>
      <c r="DR191" s="27"/>
      <c r="DS191" s="27"/>
      <c r="DT191" s="27"/>
      <c r="DU191" s="27"/>
      <c r="DV191" s="27"/>
      <c r="DW191" s="27"/>
      <c r="DX191" s="27"/>
      <c r="DY191" s="27"/>
      <c r="DZ191" s="27"/>
      <c r="EA191" s="27"/>
      <c r="EB191" s="27"/>
      <c r="EC191" s="27"/>
      <c r="ED191" s="27"/>
      <c r="EE191" s="27"/>
      <c r="EF191" s="27"/>
      <c r="EG191" s="27"/>
      <c r="EH191" s="27"/>
      <c r="EI191" s="27"/>
      <c r="EJ191" s="27"/>
      <c r="EK191" s="27"/>
      <c r="EL191" s="27"/>
      <c r="EM191" s="27"/>
      <c r="EN191" s="27"/>
      <c r="EO191" s="27"/>
      <c r="EP191" s="27"/>
      <c r="EQ191" s="27"/>
      <c r="ER191" s="27"/>
      <c r="ES191" s="27"/>
      <c r="ET191" s="27"/>
      <c r="EU191" s="27"/>
      <c r="EV191" s="27"/>
      <c r="EW191" s="27"/>
      <c r="EX191" s="27"/>
      <c r="EY191" s="27"/>
      <c r="EZ191" s="27"/>
      <c r="FA191" s="27"/>
      <c r="FB191" s="27"/>
      <c r="FC191" s="27"/>
      <c r="FD191" s="27"/>
      <c r="FE191" s="27"/>
      <c r="FF191" s="27"/>
      <c r="FG191" s="27"/>
      <c r="FH191" s="27"/>
      <c r="FI191" s="27"/>
      <c r="FJ191" s="27"/>
      <c r="FK191" s="27"/>
      <c r="FL191" s="27"/>
      <c r="FM191" s="27"/>
      <c r="FN191" s="27"/>
      <c r="FO191" s="27"/>
      <c r="FP191" s="27"/>
      <c r="FQ191" s="27"/>
      <c r="FR191" s="27"/>
      <c r="FS191" s="27"/>
      <c r="FT191" s="28"/>
      <c r="GC191" s="26"/>
      <c r="GD191" s="27"/>
      <c r="GE191" s="27"/>
      <c r="GF191" s="27"/>
      <c r="GG191" s="27"/>
      <c r="GH191" s="27"/>
      <c r="GI191" s="27"/>
      <c r="GJ191" s="27"/>
      <c r="GK191" s="27"/>
      <c r="GL191" s="27"/>
      <c r="GM191" s="27"/>
      <c r="GN191" s="27"/>
      <c r="GO191" s="27"/>
      <c r="GP191" s="27"/>
      <c r="GQ191" s="27"/>
      <c r="GR191" s="27"/>
      <c r="GS191" s="27"/>
      <c r="GT191" s="27"/>
      <c r="GU191" s="27"/>
      <c r="GV191" s="27"/>
      <c r="GW191" s="27"/>
      <c r="GX191" s="27"/>
      <c r="GY191" s="27"/>
      <c r="GZ191" s="27"/>
      <c r="HA191" s="27"/>
      <c r="HB191" s="27"/>
      <c r="HC191" s="27"/>
      <c r="HD191" s="27"/>
      <c r="HE191" s="27"/>
      <c r="HF191" s="27"/>
      <c r="HG191" s="27"/>
      <c r="HH191" s="27"/>
      <c r="HI191" s="27"/>
      <c r="HJ191" s="27"/>
      <c r="HK191" s="27"/>
      <c r="HL191" s="27"/>
      <c r="HM191" s="27"/>
      <c r="HN191" s="27"/>
      <c r="HO191" s="27"/>
      <c r="HP191" s="27"/>
      <c r="HQ191" s="27"/>
      <c r="HR191" s="27"/>
      <c r="HS191" s="27"/>
      <c r="HT191" s="27"/>
      <c r="HU191" s="27"/>
      <c r="HV191" s="27"/>
      <c r="HW191" s="27"/>
      <c r="HX191" s="27"/>
      <c r="HY191" s="27"/>
      <c r="HZ191" s="27"/>
      <c r="IA191" s="27"/>
      <c r="IB191" s="27"/>
      <c r="IC191" s="27"/>
      <c r="ID191" s="27"/>
      <c r="IE191" s="27"/>
      <c r="IF191" s="27"/>
      <c r="IG191" s="27"/>
      <c r="IH191" s="27"/>
      <c r="II191" s="27"/>
      <c r="IJ191" s="27"/>
      <c r="IK191" s="27"/>
      <c r="IL191" s="27"/>
      <c r="IM191" s="27"/>
      <c r="IN191" s="27"/>
      <c r="IO191" s="27"/>
      <c r="IP191" s="27"/>
      <c r="IQ191" s="27"/>
      <c r="IR191" s="27"/>
      <c r="IS191" s="27"/>
      <c r="IT191" s="27"/>
      <c r="IU191" s="27"/>
      <c r="IV191" s="27"/>
      <c r="IW191" s="27"/>
      <c r="IX191" s="27"/>
      <c r="IY191" s="27"/>
      <c r="IZ191" s="27"/>
      <c r="JA191" s="27"/>
      <c r="JB191" s="27"/>
      <c r="JC191" s="27"/>
      <c r="JD191" s="28"/>
    </row>
    <row r="192" spans="9:264" ht="7.5" customHeight="1" x14ac:dyDescent="0.25">
      <c r="I192" s="26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27"/>
      <c r="CH192" s="27"/>
      <c r="CI192" s="27"/>
      <c r="CJ192" s="28"/>
      <c r="CS192" s="26"/>
      <c r="CT192" s="27"/>
      <c r="CU192" s="27"/>
      <c r="CV192" s="27"/>
      <c r="CW192" s="27"/>
      <c r="CX192" s="27"/>
      <c r="CY192" s="27"/>
      <c r="CZ192" s="27"/>
      <c r="DA192" s="27"/>
      <c r="DB192" s="27"/>
      <c r="DC192" s="27"/>
      <c r="DD192" s="27"/>
      <c r="DE192" s="27"/>
      <c r="DF192" s="27"/>
      <c r="DG192" s="27"/>
      <c r="DH192" s="27"/>
      <c r="DI192" s="27"/>
      <c r="DJ192" s="27"/>
      <c r="DK192" s="27"/>
      <c r="DL192" s="27"/>
      <c r="DM192" s="27"/>
      <c r="DN192" s="27"/>
      <c r="DO192" s="27"/>
      <c r="DP192" s="27"/>
      <c r="DQ192" s="27"/>
      <c r="DR192" s="27"/>
      <c r="DS192" s="27"/>
      <c r="DT192" s="27"/>
      <c r="DU192" s="27"/>
      <c r="DV192" s="27"/>
      <c r="DW192" s="27"/>
      <c r="DX192" s="27"/>
      <c r="DY192" s="27"/>
      <c r="DZ192" s="27"/>
      <c r="EA192" s="27"/>
      <c r="EB192" s="27"/>
      <c r="EC192" s="27"/>
      <c r="ED192" s="27"/>
      <c r="EE192" s="27"/>
      <c r="EF192" s="27"/>
      <c r="EG192" s="27"/>
      <c r="EH192" s="27"/>
      <c r="EI192" s="27"/>
      <c r="EJ192" s="27"/>
      <c r="EK192" s="27"/>
      <c r="EL192" s="27"/>
      <c r="EM192" s="27"/>
      <c r="EN192" s="27"/>
      <c r="EO192" s="27"/>
      <c r="EP192" s="27"/>
      <c r="EQ192" s="27"/>
      <c r="ER192" s="27"/>
      <c r="ES192" s="27"/>
      <c r="ET192" s="27"/>
      <c r="EU192" s="27"/>
      <c r="EV192" s="27"/>
      <c r="EW192" s="27"/>
      <c r="EX192" s="27"/>
      <c r="EY192" s="27"/>
      <c r="EZ192" s="27"/>
      <c r="FA192" s="27"/>
      <c r="FB192" s="27"/>
      <c r="FC192" s="27"/>
      <c r="FD192" s="27"/>
      <c r="FE192" s="27"/>
      <c r="FF192" s="27"/>
      <c r="FG192" s="27"/>
      <c r="FH192" s="27"/>
      <c r="FI192" s="27"/>
      <c r="FJ192" s="27"/>
      <c r="FK192" s="27"/>
      <c r="FL192" s="27"/>
      <c r="FM192" s="27"/>
      <c r="FN192" s="27"/>
      <c r="FO192" s="27"/>
      <c r="FP192" s="27"/>
      <c r="FQ192" s="27"/>
      <c r="FR192" s="27"/>
      <c r="FS192" s="27"/>
      <c r="FT192" s="28"/>
      <c r="GC192" s="26"/>
      <c r="GD192" s="27"/>
      <c r="GE192" s="27"/>
      <c r="GF192" s="27"/>
      <c r="GG192" s="27"/>
      <c r="GH192" s="27"/>
      <c r="GI192" s="27"/>
      <c r="GJ192" s="27"/>
      <c r="GK192" s="27"/>
      <c r="GL192" s="27"/>
      <c r="GM192" s="27"/>
      <c r="GN192" s="27"/>
      <c r="GO192" s="27"/>
      <c r="GP192" s="27"/>
      <c r="GQ192" s="27"/>
      <c r="GR192" s="27"/>
      <c r="GS192" s="27"/>
      <c r="GT192" s="27"/>
      <c r="GU192" s="27"/>
      <c r="GV192" s="27"/>
      <c r="GW192" s="27"/>
      <c r="GX192" s="27"/>
      <c r="GY192" s="27"/>
      <c r="GZ192" s="27"/>
      <c r="HA192" s="27"/>
      <c r="HB192" s="27"/>
      <c r="HC192" s="27"/>
      <c r="HD192" s="27"/>
      <c r="HE192" s="27"/>
      <c r="HF192" s="27"/>
      <c r="HG192" s="27"/>
      <c r="HH192" s="27"/>
      <c r="HI192" s="27"/>
      <c r="HJ192" s="27"/>
      <c r="HK192" s="27"/>
      <c r="HL192" s="27"/>
      <c r="HM192" s="27"/>
      <c r="HN192" s="27"/>
      <c r="HO192" s="27"/>
      <c r="HP192" s="27"/>
      <c r="HQ192" s="27"/>
      <c r="HR192" s="27"/>
      <c r="HS192" s="27"/>
      <c r="HT192" s="27"/>
      <c r="HU192" s="27"/>
      <c r="HV192" s="27"/>
      <c r="HW192" s="27"/>
      <c r="HX192" s="27"/>
      <c r="HY192" s="27"/>
      <c r="HZ192" s="27"/>
      <c r="IA192" s="27"/>
      <c r="IB192" s="27"/>
      <c r="IC192" s="27"/>
      <c r="ID192" s="27"/>
      <c r="IE192" s="27"/>
      <c r="IF192" s="27"/>
      <c r="IG192" s="27"/>
      <c r="IH192" s="27"/>
      <c r="II192" s="27"/>
      <c r="IJ192" s="27"/>
      <c r="IK192" s="27"/>
      <c r="IL192" s="27"/>
      <c r="IM192" s="27"/>
      <c r="IN192" s="27"/>
      <c r="IO192" s="27"/>
      <c r="IP192" s="27"/>
      <c r="IQ192" s="27"/>
      <c r="IR192" s="27"/>
      <c r="IS192" s="27"/>
      <c r="IT192" s="27"/>
      <c r="IU192" s="27"/>
      <c r="IV192" s="27"/>
      <c r="IW192" s="27"/>
      <c r="IX192" s="27"/>
      <c r="IY192" s="27"/>
      <c r="IZ192" s="27"/>
      <c r="JA192" s="27"/>
      <c r="JB192" s="27"/>
      <c r="JC192" s="27"/>
      <c r="JD192" s="28"/>
    </row>
    <row r="193" spans="9:264" ht="7.5" customHeight="1" x14ac:dyDescent="0.25">
      <c r="I193" s="26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27"/>
      <c r="CH193" s="27"/>
      <c r="CI193" s="27"/>
      <c r="CJ193" s="28"/>
      <c r="CS193" s="26"/>
      <c r="CT193" s="27"/>
      <c r="CU193" s="27"/>
      <c r="CV193" s="27"/>
      <c r="CW193" s="27"/>
      <c r="CX193" s="27"/>
      <c r="CY193" s="27"/>
      <c r="CZ193" s="27"/>
      <c r="DA193" s="27"/>
      <c r="DB193" s="27"/>
      <c r="DC193" s="27"/>
      <c r="DD193" s="27"/>
      <c r="DE193" s="27"/>
      <c r="DF193" s="27"/>
      <c r="DG193" s="27"/>
      <c r="DH193" s="27"/>
      <c r="DI193" s="27"/>
      <c r="DJ193" s="27"/>
      <c r="DK193" s="27"/>
      <c r="DL193" s="27"/>
      <c r="DM193" s="27"/>
      <c r="DN193" s="27"/>
      <c r="DO193" s="27"/>
      <c r="DP193" s="27"/>
      <c r="DQ193" s="27"/>
      <c r="DR193" s="27"/>
      <c r="DS193" s="27"/>
      <c r="DT193" s="27"/>
      <c r="DU193" s="27"/>
      <c r="DV193" s="27"/>
      <c r="DW193" s="27"/>
      <c r="DX193" s="27"/>
      <c r="DY193" s="27"/>
      <c r="DZ193" s="27"/>
      <c r="EA193" s="27"/>
      <c r="EB193" s="27"/>
      <c r="EC193" s="27"/>
      <c r="ED193" s="27"/>
      <c r="EE193" s="27"/>
      <c r="EF193" s="27"/>
      <c r="EG193" s="27"/>
      <c r="EH193" s="27"/>
      <c r="EI193" s="27"/>
      <c r="EJ193" s="27"/>
      <c r="EK193" s="27"/>
      <c r="EL193" s="27"/>
      <c r="EM193" s="27"/>
      <c r="EN193" s="27"/>
      <c r="EO193" s="27"/>
      <c r="EP193" s="27"/>
      <c r="EQ193" s="27"/>
      <c r="ER193" s="27"/>
      <c r="ES193" s="27"/>
      <c r="ET193" s="27"/>
      <c r="EU193" s="27"/>
      <c r="EV193" s="27"/>
      <c r="EW193" s="27"/>
      <c r="EX193" s="27"/>
      <c r="EY193" s="27"/>
      <c r="EZ193" s="27"/>
      <c r="FA193" s="27"/>
      <c r="FB193" s="27"/>
      <c r="FC193" s="27"/>
      <c r="FD193" s="27"/>
      <c r="FE193" s="27"/>
      <c r="FF193" s="27"/>
      <c r="FG193" s="27"/>
      <c r="FH193" s="27"/>
      <c r="FI193" s="27"/>
      <c r="FJ193" s="27"/>
      <c r="FK193" s="27"/>
      <c r="FL193" s="27"/>
      <c r="FM193" s="27"/>
      <c r="FN193" s="27"/>
      <c r="FO193" s="27"/>
      <c r="FP193" s="27"/>
      <c r="FQ193" s="27"/>
      <c r="FR193" s="27"/>
      <c r="FS193" s="27"/>
      <c r="FT193" s="28"/>
      <c r="GC193" s="26"/>
      <c r="GD193" s="27"/>
      <c r="GE193" s="27"/>
      <c r="GF193" s="27"/>
      <c r="GG193" s="27"/>
      <c r="GH193" s="27"/>
      <c r="GI193" s="27"/>
      <c r="GJ193" s="27"/>
      <c r="GK193" s="27"/>
      <c r="GL193" s="27"/>
      <c r="GM193" s="27"/>
      <c r="GN193" s="27"/>
      <c r="GO193" s="27"/>
      <c r="GP193" s="27"/>
      <c r="GQ193" s="27"/>
      <c r="GR193" s="27"/>
      <c r="GS193" s="27"/>
      <c r="GT193" s="27"/>
      <c r="GU193" s="27"/>
      <c r="GV193" s="27"/>
      <c r="GW193" s="27"/>
      <c r="GX193" s="27"/>
      <c r="GY193" s="27"/>
      <c r="GZ193" s="27"/>
      <c r="HA193" s="27"/>
      <c r="HB193" s="27"/>
      <c r="HC193" s="27"/>
      <c r="HD193" s="27"/>
      <c r="HE193" s="27"/>
      <c r="HF193" s="27"/>
      <c r="HG193" s="27"/>
      <c r="HH193" s="27"/>
      <c r="HI193" s="27"/>
      <c r="HJ193" s="27"/>
      <c r="HK193" s="27"/>
      <c r="HL193" s="27"/>
      <c r="HM193" s="27"/>
      <c r="HN193" s="27"/>
      <c r="HO193" s="27"/>
      <c r="HP193" s="27"/>
      <c r="HQ193" s="27"/>
      <c r="HR193" s="27"/>
      <c r="HS193" s="27"/>
      <c r="HT193" s="27"/>
      <c r="HU193" s="27"/>
      <c r="HV193" s="27"/>
      <c r="HW193" s="27"/>
      <c r="HX193" s="27"/>
      <c r="HY193" s="27"/>
      <c r="HZ193" s="27"/>
      <c r="IA193" s="27"/>
      <c r="IB193" s="27"/>
      <c r="IC193" s="27"/>
      <c r="ID193" s="27"/>
      <c r="IE193" s="27"/>
      <c r="IF193" s="27"/>
      <c r="IG193" s="27"/>
      <c r="IH193" s="27"/>
      <c r="II193" s="27"/>
      <c r="IJ193" s="27"/>
      <c r="IK193" s="27"/>
      <c r="IL193" s="27"/>
      <c r="IM193" s="27"/>
      <c r="IN193" s="27"/>
      <c r="IO193" s="27"/>
      <c r="IP193" s="27"/>
      <c r="IQ193" s="27"/>
      <c r="IR193" s="27"/>
      <c r="IS193" s="27"/>
      <c r="IT193" s="27"/>
      <c r="IU193" s="27"/>
      <c r="IV193" s="27"/>
      <c r="IW193" s="27"/>
      <c r="IX193" s="27"/>
      <c r="IY193" s="27"/>
      <c r="IZ193" s="27"/>
      <c r="JA193" s="27"/>
      <c r="JB193" s="27"/>
      <c r="JC193" s="27"/>
      <c r="JD193" s="28"/>
    </row>
    <row r="194" spans="9:264" ht="7.5" customHeight="1" x14ac:dyDescent="0.25">
      <c r="I194" s="26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27"/>
      <c r="CH194" s="27"/>
      <c r="CI194" s="27"/>
      <c r="CJ194" s="28"/>
      <c r="CS194" s="26"/>
      <c r="CT194" s="27"/>
      <c r="CU194" s="27"/>
      <c r="CV194" s="27"/>
      <c r="CW194" s="27"/>
      <c r="CX194" s="27"/>
      <c r="CY194" s="27"/>
      <c r="CZ194" s="27"/>
      <c r="DA194" s="27"/>
      <c r="DB194" s="27"/>
      <c r="DC194" s="27"/>
      <c r="DD194" s="27"/>
      <c r="DE194" s="27"/>
      <c r="DF194" s="27"/>
      <c r="DG194" s="27"/>
      <c r="DH194" s="27"/>
      <c r="DI194" s="27"/>
      <c r="DJ194" s="27"/>
      <c r="DK194" s="27"/>
      <c r="DL194" s="27"/>
      <c r="DM194" s="27"/>
      <c r="DN194" s="27"/>
      <c r="DO194" s="27"/>
      <c r="DP194" s="27"/>
      <c r="DQ194" s="27"/>
      <c r="DR194" s="27"/>
      <c r="DS194" s="27"/>
      <c r="DT194" s="27"/>
      <c r="DU194" s="27"/>
      <c r="DV194" s="27"/>
      <c r="DW194" s="27"/>
      <c r="DX194" s="27"/>
      <c r="DY194" s="27"/>
      <c r="DZ194" s="27"/>
      <c r="EA194" s="27"/>
      <c r="EB194" s="27"/>
      <c r="EC194" s="27"/>
      <c r="ED194" s="27"/>
      <c r="EE194" s="27"/>
      <c r="EF194" s="27"/>
      <c r="EG194" s="27"/>
      <c r="EH194" s="27"/>
      <c r="EI194" s="27"/>
      <c r="EJ194" s="27"/>
      <c r="EK194" s="27"/>
      <c r="EL194" s="27"/>
      <c r="EM194" s="27"/>
      <c r="EN194" s="27"/>
      <c r="EO194" s="27"/>
      <c r="EP194" s="27"/>
      <c r="EQ194" s="27"/>
      <c r="ER194" s="27"/>
      <c r="ES194" s="27"/>
      <c r="ET194" s="27"/>
      <c r="EU194" s="27"/>
      <c r="EV194" s="27"/>
      <c r="EW194" s="27"/>
      <c r="EX194" s="27"/>
      <c r="EY194" s="27"/>
      <c r="EZ194" s="27"/>
      <c r="FA194" s="27"/>
      <c r="FB194" s="27"/>
      <c r="FC194" s="27"/>
      <c r="FD194" s="27"/>
      <c r="FE194" s="27"/>
      <c r="FF194" s="27"/>
      <c r="FG194" s="27"/>
      <c r="FH194" s="27"/>
      <c r="FI194" s="27"/>
      <c r="FJ194" s="27"/>
      <c r="FK194" s="27"/>
      <c r="FL194" s="27"/>
      <c r="FM194" s="27"/>
      <c r="FN194" s="27"/>
      <c r="FO194" s="27"/>
      <c r="FP194" s="27"/>
      <c r="FQ194" s="27"/>
      <c r="FR194" s="27"/>
      <c r="FS194" s="27"/>
      <c r="FT194" s="28"/>
      <c r="GC194" s="26"/>
      <c r="GD194" s="27"/>
      <c r="GE194" s="27"/>
      <c r="GF194" s="27"/>
      <c r="GG194" s="27"/>
      <c r="GH194" s="27"/>
      <c r="GI194" s="27"/>
      <c r="GJ194" s="27"/>
      <c r="GK194" s="27"/>
      <c r="GL194" s="27"/>
      <c r="GM194" s="27"/>
      <c r="GN194" s="27"/>
      <c r="GO194" s="27"/>
      <c r="GP194" s="27"/>
      <c r="GQ194" s="27"/>
      <c r="GR194" s="27"/>
      <c r="GS194" s="27"/>
      <c r="GT194" s="27"/>
      <c r="GU194" s="27"/>
      <c r="GV194" s="27"/>
      <c r="GW194" s="27"/>
      <c r="GX194" s="27"/>
      <c r="GY194" s="27"/>
      <c r="GZ194" s="27"/>
      <c r="HA194" s="27"/>
      <c r="HB194" s="27"/>
      <c r="HC194" s="27"/>
      <c r="HD194" s="27"/>
      <c r="HE194" s="27"/>
      <c r="HF194" s="27"/>
      <c r="HG194" s="27"/>
      <c r="HH194" s="27"/>
      <c r="HI194" s="27"/>
      <c r="HJ194" s="27"/>
      <c r="HK194" s="27"/>
      <c r="HL194" s="27"/>
      <c r="HM194" s="27"/>
      <c r="HN194" s="27"/>
      <c r="HO194" s="27"/>
      <c r="HP194" s="27"/>
      <c r="HQ194" s="27"/>
      <c r="HR194" s="27"/>
      <c r="HS194" s="27"/>
      <c r="HT194" s="27"/>
      <c r="HU194" s="27"/>
      <c r="HV194" s="27"/>
      <c r="HW194" s="27"/>
      <c r="HX194" s="27"/>
      <c r="HY194" s="27"/>
      <c r="HZ194" s="27"/>
      <c r="IA194" s="27"/>
      <c r="IB194" s="27"/>
      <c r="IC194" s="27"/>
      <c r="ID194" s="27"/>
      <c r="IE194" s="27"/>
      <c r="IF194" s="27"/>
      <c r="IG194" s="27"/>
      <c r="IH194" s="27"/>
      <c r="II194" s="27"/>
      <c r="IJ194" s="27"/>
      <c r="IK194" s="27"/>
      <c r="IL194" s="27"/>
      <c r="IM194" s="27"/>
      <c r="IN194" s="27"/>
      <c r="IO194" s="27"/>
      <c r="IP194" s="27"/>
      <c r="IQ194" s="27"/>
      <c r="IR194" s="27"/>
      <c r="IS194" s="27"/>
      <c r="IT194" s="27"/>
      <c r="IU194" s="27"/>
      <c r="IV194" s="27"/>
      <c r="IW194" s="27"/>
      <c r="IX194" s="27"/>
      <c r="IY194" s="27"/>
      <c r="IZ194" s="27"/>
      <c r="JA194" s="27"/>
      <c r="JB194" s="27"/>
      <c r="JC194" s="27"/>
      <c r="JD194" s="28"/>
    </row>
    <row r="195" spans="9:264" ht="7.5" customHeight="1" x14ac:dyDescent="0.25">
      <c r="I195" s="26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27"/>
      <c r="CH195" s="27"/>
      <c r="CI195" s="27"/>
      <c r="CJ195" s="28"/>
      <c r="CS195" s="26"/>
      <c r="CT195" s="27"/>
      <c r="CU195" s="27"/>
      <c r="CV195" s="27"/>
      <c r="CW195" s="27"/>
      <c r="CX195" s="27"/>
      <c r="CY195" s="27"/>
      <c r="CZ195" s="27"/>
      <c r="DA195" s="27"/>
      <c r="DB195" s="27"/>
      <c r="DC195" s="27"/>
      <c r="DD195" s="27"/>
      <c r="DE195" s="27"/>
      <c r="DF195" s="27"/>
      <c r="DG195" s="27"/>
      <c r="DH195" s="27"/>
      <c r="DI195" s="27"/>
      <c r="DJ195" s="27"/>
      <c r="DK195" s="27"/>
      <c r="DL195" s="27"/>
      <c r="DM195" s="27"/>
      <c r="DN195" s="27"/>
      <c r="DO195" s="27"/>
      <c r="DP195" s="27"/>
      <c r="DQ195" s="27"/>
      <c r="DR195" s="27"/>
      <c r="DS195" s="27"/>
      <c r="DT195" s="27"/>
      <c r="DU195" s="27"/>
      <c r="DV195" s="27"/>
      <c r="DW195" s="27"/>
      <c r="DX195" s="27"/>
      <c r="DY195" s="27"/>
      <c r="DZ195" s="27"/>
      <c r="EA195" s="27"/>
      <c r="EB195" s="27"/>
      <c r="EC195" s="27"/>
      <c r="ED195" s="27"/>
      <c r="EE195" s="27"/>
      <c r="EF195" s="27"/>
      <c r="EG195" s="27"/>
      <c r="EH195" s="27"/>
      <c r="EI195" s="27"/>
      <c r="EJ195" s="27"/>
      <c r="EK195" s="27"/>
      <c r="EL195" s="27"/>
      <c r="EM195" s="27"/>
      <c r="EN195" s="27"/>
      <c r="EO195" s="27"/>
      <c r="EP195" s="27"/>
      <c r="EQ195" s="27"/>
      <c r="ER195" s="27"/>
      <c r="ES195" s="27"/>
      <c r="ET195" s="27"/>
      <c r="EU195" s="27"/>
      <c r="EV195" s="27"/>
      <c r="EW195" s="27"/>
      <c r="EX195" s="27"/>
      <c r="EY195" s="27"/>
      <c r="EZ195" s="27"/>
      <c r="FA195" s="27"/>
      <c r="FB195" s="27"/>
      <c r="FC195" s="27"/>
      <c r="FD195" s="27"/>
      <c r="FE195" s="27"/>
      <c r="FF195" s="27"/>
      <c r="FG195" s="27"/>
      <c r="FH195" s="27"/>
      <c r="FI195" s="27"/>
      <c r="FJ195" s="27"/>
      <c r="FK195" s="27"/>
      <c r="FL195" s="27"/>
      <c r="FM195" s="27"/>
      <c r="FN195" s="27"/>
      <c r="FO195" s="27"/>
      <c r="FP195" s="27"/>
      <c r="FQ195" s="27"/>
      <c r="FR195" s="27"/>
      <c r="FS195" s="27"/>
      <c r="FT195" s="28"/>
      <c r="GC195" s="26"/>
      <c r="GD195" s="27"/>
      <c r="GE195" s="27"/>
      <c r="GF195" s="27"/>
      <c r="GG195" s="27"/>
      <c r="GH195" s="27"/>
      <c r="GI195" s="27"/>
      <c r="GJ195" s="27"/>
      <c r="GK195" s="27"/>
      <c r="GL195" s="27"/>
      <c r="GM195" s="27"/>
      <c r="GN195" s="27"/>
      <c r="GO195" s="27"/>
      <c r="GP195" s="27"/>
      <c r="GQ195" s="27"/>
      <c r="GR195" s="27"/>
      <c r="GS195" s="27"/>
      <c r="GT195" s="27"/>
      <c r="GU195" s="27"/>
      <c r="GV195" s="27"/>
      <c r="GW195" s="27"/>
      <c r="GX195" s="27"/>
      <c r="GY195" s="27"/>
      <c r="GZ195" s="27"/>
      <c r="HA195" s="27"/>
      <c r="HB195" s="27"/>
      <c r="HC195" s="27"/>
      <c r="HD195" s="27"/>
      <c r="HE195" s="27"/>
      <c r="HF195" s="27"/>
      <c r="HG195" s="27"/>
      <c r="HH195" s="27"/>
      <c r="HI195" s="27"/>
      <c r="HJ195" s="27"/>
      <c r="HK195" s="27"/>
      <c r="HL195" s="27"/>
      <c r="HM195" s="27"/>
      <c r="HN195" s="27"/>
      <c r="HO195" s="27"/>
      <c r="HP195" s="27"/>
      <c r="HQ195" s="27"/>
      <c r="HR195" s="27"/>
      <c r="HS195" s="27"/>
      <c r="HT195" s="27"/>
      <c r="HU195" s="27"/>
      <c r="HV195" s="27"/>
      <c r="HW195" s="27"/>
      <c r="HX195" s="27"/>
      <c r="HY195" s="27"/>
      <c r="HZ195" s="27"/>
      <c r="IA195" s="27"/>
      <c r="IB195" s="27"/>
      <c r="IC195" s="27"/>
      <c r="ID195" s="27"/>
      <c r="IE195" s="27"/>
      <c r="IF195" s="27"/>
      <c r="IG195" s="27"/>
      <c r="IH195" s="27"/>
      <c r="II195" s="27"/>
      <c r="IJ195" s="27"/>
      <c r="IK195" s="27"/>
      <c r="IL195" s="27"/>
      <c r="IM195" s="27"/>
      <c r="IN195" s="27"/>
      <c r="IO195" s="27"/>
      <c r="IP195" s="27"/>
      <c r="IQ195" s="27"/>
      <c r="IR195" s="27"/>
      <c r="IS195" s="27"/>
      <c r="IT195" s="27"/>
      <c r="IU195" s="27"/>
      <c r="IV195" s="27"/>
      <c r="IW195" s="27"/>
      <c r="IX195" s="27"/>
      <c r="IY195" s="27"/>
      <c r="IZ195" s="27"/>
      <c r="JA195" s="27"/>
      <c r="JB195" s="27"/>
      <c r="JC195" s="27"/>
      <c r="JD195" s="28"/>
    </row>
    <row r="196" spans="9:264" ht="7.5" customHeight="1" x14ac:dyDescent="0.25">
      <c r="I196" s="26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27"/>
      <c r="CH196" s="27"/>
      <c r="CI196" s="27"/>
      <c r="CJ196" s="28"/>
      <c r="CK196" s="2"/>
      <c r="CL196" s="2"/>
      <c r="CM196" s="2"/>
      <c r="CN196" s="2"/>
      <c r="CO196" s="2"/>
      <c r="CP196" s="2"/>
      <c r="CQ196" s="2"/>
      <c r="CR196" s="2"/>
      <c r="CS196" s="26"/>
      <c r="CT196" s="27"/>
      <c r="CU196" s="27"/>
      <c r="CV196" s="27"/>
      <c r="CW196" s="27"/>
      <c r="CX196" s="27"/>
      <c r="CY196" s="27"/>
      <c r="CZ196" s="27"/>
      <c r="DA196" s="27"/>
      <c r="DB196" s="27"/>
      <c r="DC196" s="27"/>
      <c r="DD196" s="27"/>
      <c r="DE196" s="27"/>
      <c r="DF196" s="27"/>
      <c r="DG196" s="27"/>
      <c r="DH196" s="27"/>
      <c r="DI196" s="27"/>
      <c r="DJ196" s="27"/>
      <c r="DK196" s="27"/>
      <c r="DL196" s="27"/>
      <c r="DM196" s="27"/>
      <c r="DN196" s="27"/>
      <c r="DO196" s="27"/>
      <c r="DP196" s="27"/>
      <c r="DQ196" s="27"/>
      <c r="DR196" s="27"/>
      <c r="DS196" s="27"/>
      <c r="DT196" s="27"/>
      <c r="DU196" s="27"/>
      <c r="DV196" s="27"/>
      <c r="DW196" s="27"/>
      <c r="DX196" s="27"/>
      <c r="DY196" s="27"/>
      <c r="DZ196" s="27"/>
      <c r="EA196" s="27"/>
      <c r="EB196" s="27"/>
      <c r="EC196" s="27"/>
      <c r="ED196" s="27"/>
      <c r="EE196" s="27"/>
      <c r="EF196" s="27"/>
      <c r="EG196" s="27"/>
      <c r="EH196" s="27"/>
      <c r="EI196" s="27"/>
      <c r="EJ196" s="27"/>
      <c r="EK196" s="27"/>
      <c r="EL196" s="27"/>
      <c r="EM196" s="27"/>
      <c r="EN196" s="27"/>
      <c r="EO196" s="27"/>
      <c r="EP196" s="27"/>
      <c r="EQ196" s="27"/>
      <c r="ER196" s="27"/>
      <c r="ES196" s="27"/>
      <c r="ET196" s="27"/>
      <c r="EU196" s="27"/>
      <c r="EV196" s="27"/>
      <c r="EW196" s="27"/>
      <c r="EX196" s="27"/>
      <c r="EY196" s="27"/>
      <c r="EZ196" s="27"/>
      <c r="FA196" s="27"/>
      <c r="FB196" s="27"/>
      <c r="FC196" s="27"/>
      <c r="FD196" s="27"/>
      <c r="FE196" s="27"/>
      <c r="FF196" s="27"/>
      <c r="FG196" s="27"/>
      <c r="FH196" s="27"/>
      <c r="FI196" s="27"/>
      <c r="FJ196" s="27"/>
      <c r="FK196" s="27"/>
      <c r="FL196" s="27"/>
      <c r="FM196" s="27"/>
      <c r="FN196" s="27"/>
      <c r="FO196" s="27"/>
      <c r="FP196" s="27"/>
      <c r="FQ196" s="27"/>
      <c r="FR196" s="27"/>
      <c r="FS196" s="27"/>
      <c r="FT196" s="28"/>
      <c r="FU196" s="2"/>
      <c r="FV196" s="2"/>
      <c r="FW196" s="2"/>
      <c r="FX196" s="2"/>
      <c r="FY196" s="2"/>
      <c r="FZ196" s="2"/>
      <c r="GA196" s="2"/>
      <c r="GB196" s="2"/>
      <c r="GC196" s="26"/>
      <c r="GD196" s="27"/>
      <c r="GE196" s="27"/>
      <c r="GF196" s="27"/>
      <c r="GG196" s="27"/>
      <c r="GH196" s="27"/>
      <c r="GI196" s="27"/>
      <c r="GJ196" s="27"/>
      <c r="GK196" s="27"/>
      <c r="GL196" s="27"/>
      <c r="GM196" s="27"/>
      <c r="GN196" s="27"/>
      <c r="GO196" s="27"/>
      <c r="GP196" s="27"/>
      <c r="GQ196" s="27"/>
      <c r="GR196" s="27"/>
      <c r="GS196" s="27"/>
      <c r="GT196" s="27"/>
      <c r="GU196" s="27"/>
      <c r="GV196" s="27"/>
      <c r="GW196" s="27"/>
      <c r="GX196" s="27"/>
      <c r="GY196" s="27"/>
      <c r="GZ196" s="27"/>
      <c r="HA196" s="27"/>
      <c r="HB196" s="27"/>
      <c r="HC196" s="27"/>
      <c r="HD196" s="27"/>
      <c r="HE196" s="27"/>
      <c r="HF196" s="27"/>
      <c r="HG196" s="27"/>
      <c r="HH196" s="27"/>
      <c r="HI196" s="27"/>
      <c r="HJ196" s="27"/>
      <c r="HK196" s="27"/>
      <c r="HL196" s="27"/>
      <c r="HM196" s="27"/>
      <c r="HN196" s="27"/>
      <c r="HO196" s="27"/>
      <c r="HP196" s="27"/>
      <c r="HQ196" s="27"/>
      <c r="HR196" s="27"/>
      <c r="HS196" s="27"/>
      <c r="HT196" s="27"/>
      <c r="HU196" s="27"/>
      <c r="HV196" s="27"/>
      <c r="HW196" s="27"/>
      <c r="HX196" s="27"/>
      <c r="HY196" s="27"/>
      <c r="HZ196" s="27"/>
      <c r="IA196" s="27"/>
      <c r="IB196" s="27"/>
      <c r="IC196" s="27"/>
      <c r="ID196" s="27"/>
      <c r="IE196" s="27"/>
      <c r="IF196" s="27"/>
      <c r="IG196" s="27"/>
      <c r="IH196" s="27"/>
      <c r="II196" s="27"/>
      <c r="IJ196" s="27"/>
      <c r="IK196" s="27"/>
      <c r="IL196" s="27"/>
      <c r="IM196" s="27"/>
      <c r="IN196" s="27"/>
      <c r="IO196" s="27"/>
      <c r="IP196" s="27"/>
      <c r="IQ196" s="27"/>
      <c r="IR196" s="27"/>
      <c r="IS196" s="27"/>
      <c r="IT196" s="27"/>
      <c r="IU196" s="27"/>
      <c r="IV196" s="27"/>
      <c r="IW196" s="27"/>
      <c r="IX196" s="27"/>
      <c r="IY196" s="27"/>
      <c r="IZ196" s="27"/>
      <c r="JA196" s="27"/>
      <c r="JB196" s="27"/>
      <c r="JC196" s="27"/>
      <c r="JD196" s="28"/>
    </row>
    <row r="197" spans="9:264" ht="7.5" customHeight="1" x14ac:dyDescent="0.25">
      <c r="I197" s="26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27"/>
      <c r="CH197" s="27"/>
      <c r="CI197" s="27"/>
      <c r="CJ197" s="28"/>
      <c r="CK197" s="2"/>
      <c r="CL197" s="2"/>
      <c r="CM197" s="2"/>
      <c r="CN197" s="2"/>
      <c r="CO197" s="2"/>
      <c r="CP197" s="2"/>
      <c r="CQ197" s="2"/>
      <c r="CR197" s="2"/>
      <c r="CS197" s="26"/>
      <c r="CT197" s="27"/>
      <c r="CU197" s="27"/>
      <c r="CV197" s="27"/>
      <c r="CW197" s="27"/>
      <c r="CX197" s="27"/>
      <c r="CY197" s="27"/>
      <c r="CZ197" s="27"/>
      <c r="DA197" s="27"/>
      <c r="DB197" s="27"/>
      <c r="DC197" s="27"/>
      <c r="DD197" s="27"/>
      <c r="DE197" s="27"/>
      <c r="DF197" s="27"/>
      <c r="DG197" s="27"/>
      <c r="DH197" s="27"/>
      <c r="DI197" s="27"/>
      <c r="DJ197" s="27"/>
      <c r="DK197" s="27"/>
      <c r="DL197" s="27"/>
      <c r="DM197" s="27"/>
      <c r="DN197" s="27"/>
      <c r="DO197" s="27"/>
      <c r="DP197" s="27"/>
      <c r="DQ197" s="27"/>
      <c r="DR197" s="27"/>
      <c r="DS197" s="27"/>
      <c r="DT197" s="27"/>
      <c r="DU197" s="27"/>
      <c r="DV197" s="27"/>
      <c r="DW197" s="27"/>
      <c r="DX197" s="27"/>
      <c r="DY197" s="27"/>
      <c r="DZ197" s="27"/>
      <c r="EA197" s="27"/>
      <c r="EB197" s="27"/>
      <c r="EC197" s="27"/>
      <c r="ED197" s="27"/>
      <c r="EE197" s="27"/>
      <c r="EF197" s="27"/>
      <c r="EG197" s="27"/>
      <c r="EH197" s="27"/>
      <c r="EI197" s="27"/>
      <c r="EJ197" s="27"/>
      <c r="EK197" s="27"/>
      <c r="EL197" s="27"/>
      <c r="EM197" s="27"/>
      <c r="EN197" s="27"/>
      <c r="EO197" s="27"/>
      <c r="EP197" s="27"/>
      <c r="EQ197" s="27"/>
      <c r="ER197" s="27"/>
      <c r="ES197" s="27"/>
      <c r="ET197" s="27"/>
      <c r="EU197" s="27"/>
      <c r="EV197" s="27"/>
      <c r="EW197" s="27"/>
      <c r="EX197" s="27"/>
      <c r="EY197" s="27"/>
      <c r="EZ197" s="27"/>
      <c r="FA197" s="27"/>
      <c r="FB197" s="27"/>
      <c r="FC197" s="27"/>
      <c r="FD197" s="27"/>
      <c r="FE197" s="27"/>
      <c r="FF197" s="27"/>
      <c r="FG197" s="27"/>
      <c r="FH197" s="27"/>
      <c r="FI197" s="27"/>
      <c r="FJ197" s="27"/>
      <c r="FK197" s="27"/>
      <c r="FL197" s="27"/>
      <c r="FM197" s="27"/>
      <c r="FN197" s="27"/>
      <c r="FO197" s="27"/>
      <c r="FP197" s="27"/>
      <c r="FQ197" s="27"/>
      <c r="FR197" s="27"/>
      <c r="FS197" s="27"/>
      <c r="FT197" s="28"/>
      <c r="FU197" s="2"/>
      <c r="FV197" s="2"/>
      <c r="FW197" s="2"/>
      <c r="FX197" s="2"/>
      <c r="FY197" s="2"/>
      <c r="FZ197" s="2"/>
      <c r="GA197" s="2"/>
      <c r="GB197" s="2"/>
      <c r="GC197" s="26"/>
      <c r="GD197" s="27"/>
      <c r="GE197" s="27"/>
      <c r="GF197" s="27"/>
      <c r="GG197" s="27"/>
      <c r="GH197" s="27"/>
      <c r="GI197" s="27"/>
      <c r="GJ197" s="27"/>
      <c r="GK197" s="27"/>
      <c r="GL197" s="27"/>
      <c r="GM197" s="27"/>
      <c r="GN197" s="27"/>
      <c r="GO197" s="27"/>
      <c r="GP197" s="27"/>
      <c r="GQ197" s="27"/>
      <c r="GR197" s="27"/>
      <c r="GS197" s="27"/>
      <c r="GT197" s="27"/>
      <c r="GU197" s="27"/>
      <c r="GV197" s="27"/>
      <c r="GW197" s="27"/>
      <c r="GX197" s="27"/>
      <c r="GY197" s="27"/>
      <c r="GZ197" s="27"/>
      <c r="HA197" s="27"/>
      <c r="HB197" s="27"/>
      <c r="HC197" s="27"/>
      <c r="HD197" s="27"/>
      <c r="HE197" s="27"/>
      <c r="HF197" s="27"/>
      <c r="HG197" s="27"/>
      <c r="HH197" s="27"/>
      <c r="HI197" s="27"/>
      <c r="HJ197" s="27"/>
      <c r="HK197" s="27"/>
      <c r="HL197" s="27"/>
      <c r="HM197" s="27"/>
      <c r="HN197" s="27"/>
      <c r="HO197" s="27"/>
      <c r="HP197" s="27"/>
      <c r="HQ197" s="27"/>
      <c r="HR197" s="27"/>
      <c r="HS197" s="27"/>
      <c r="HT197" s="27"/>
      <c r="HU197" s="27"/>
      <c r="HV197" s="27"/>
      <c r="HW197" s="27"/>
      <c r="HX197" s="27"/>
      <c r="HY197" s="27"/>
      <c r="HZ197" s="27"/>
      <c r="IA197" s="27"/>
      <c r="IB197" s="27"/>
      <c r="IC197" s="27"/>
      <c r="ID197" s="27"/>
      <c r="IE197" s="27"/>
      <c r="IF197" s="27"/>
      <c r="IG197" s="27"/>
      <c r="IH197" s="27"/>
      <c r="II197" s="27"/>
      <c r="IJ197" s="27"/>
      <c r="IK197" s="27"/>
      <c r="IL197" s="27"/>
      <c r="IM197" s="27"/>
      <c r="IN197" s="27"/>
      <c r="IO197" s="27"/>
      <c r="IP197" s="27"/>
      <c r="IQ197" s="27"/>
      <c r="IR197" s="27"/>
      <c r="IS197" s="27"/>
      <c r="IT197" s="27"/>
      <c r="IU197" s="27"/>
      <c r="IV197" s="27"/>
      <c r="IW197" s="27"/>
      <c r="IX197" s="27"/>
      <c r="IY197" s="27"/>
      <c r="IZ197" s="27"/>
      <c r="JA197" s="27"/>
      <c r="JB197" s="27"/>
      <c r="JC197" s="27"/>
      <c r="JD197" s="28"/>
    </row>
    <row r="198" spans="9:264" ht="7.5" customHeight="1" x14ac:dyDescent="0.25">
      <c r="I198" s="26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27"/>
      <c r="CH198" s="27"/>
      <c r="CI198" s="27"/>
      <c r="CJ198" s="28"/>
      <c r="CK198" s="2"/>
      <c r="CL198" s="2"/>
      <c r="CM198" s="2"/>
      <c r="CN198" s="2"/>
      <c r="CO198" s="2"/>
      <c r="CP198" s="2"/>
      <c r="CQ198" s="2"/>
      <c r="CR198" s="2"/>
      <c r="CS198" s="26"/>
      <c r="CT198" s="27"/>
      <c r="CU198" s="27"/>
      <c r="CV198" s="27"/>
      <c r="CW198" s="27"/>
      <c r="CX198" s="27"/>
      <c r="CY198" s="27"/>
      <c r="CZ198" s="27"/>
      <c r="DA198" s="27"/>
      <c r="DB198" s="27"/>
      <c r="DC198" s="27"/>
      <c r="DD198" s="27"/>
      <c r="DE198" s="27"/>
      <c r="DF198" s="27"/>
      <c r="DG198" s="27"/>
      <c r="DH198" s="27"/>
      <c r="DI198" s="27"/>
      <c r="DJ198" s="27"/>
      <c r="DK198" s="27"/>
      <c r="DL198" s="27"/>
      <c r="DM198" s="27"/>
      <c r="DN198" s="27"/>
      <c r="DO198" s="27"/>
      <c r="DP198" s="27"/>
      <c r="DQ198" s="27"/>
      <c r="DR198" s="27"/>
      <c r="DS198" s="27"/>
      <c r="DT198" s="27"/>
      <c r="DU198" s="27"/>
      <c r="DV198" s="27"/>
      <c r="DW198" s="27"/>
      <c r="DX198" s="27"/>
      <c r="DY198" s="27"/>
      <c r="DZ198" s="27"/>
      <c r="EA198" s="27"/>
      <c r="EB198" s="27"/>
      <c r="EC198" s="27"/>
      <c r="ED198" s="27"/>
      <c r="EE198" s="27"/>
      <c r="EF198" s="27"/>
      <c r="EG198" s="27"/>
      <c r="EH198" s="27"/>
      <c r="EI198" s="27"/>
      <c r="EJ198" s="27"/>
      <c r="EK198" s="27"/>
      <c r="EL198" s="27"/>
      <c r="EM198" s="27"/>
      <c r="EN198" s="27"/>
      <c r="EO198" s="27"/>
      <c r="EP198" s="27"/>
      <c r="EQ198" s="27"/>
      <c r="ER198" s="27"/>
      <c r="ES198" s="27"/>
      <c r="ET198" s="27"/>
      <c r="EU198" s="27"/>
      <c r="EV198" s="27"/>
      <c r="EW198" s="27"/>
      <c r="EX198" s="27"/>
      <c r="EY198" s="27"/>
      <c r="EZ198" s="27"/>
      <c r="FA198" s="27"/>
      <c r="FB198" s="27"/>
      <c r="FC198" s="27"/>
      <c r="FD198" s="27"/>
      <c r="FE198" s="27"/>
      <c r="FF198" s="27"/>
      <c r="FG198" s="27"/>
      <c r="FH198" s="27"/>
      <c r="FI198" s="27"/>
      <c r="FJ198" s="27"/>
      <c r="FK198" s="27"/>
      <c r="FL198" s="27"/>
      <c r="FM198" s="27"/>
      <c r="FN198" s="27"/>
      <c r="FO198" s="27"/>
      <c r="FP198" s="27"/>
      <c r="FQ198" s="27"/>
      <c r="FR198" s="27"/>
      <c r="FS198" s="27"/>
      <c r="FT198" s="28"/>
      <c r="FU198" s="2"/>
      <c r="FV198" s="2"/>
      <c r="FW198" s="2"/>
      <c r="FX198" s="2"/>
      <c r="FY198" s="2"/>
      <c r="FZ198" s="2"/>
      <c r="GA198" s="2"/>
      <c r="GB198" s="2"/>
      <c r="GC198" s="26"/>
      <c r="GD198" s="27"/>
      <c r="GE198" s="27"/>
      <c r="GF198" s="27"/>
      <c r="GG198" s="27"/>
      <c r="GH198" s="27"/>
      <c r="GI198" s="27"/>
      <c r="GJ198" s="27"/>
      <c r="GK198" s="27"/>
      <c r="GL198" s="27"/>
      <c r="GM198" s="27"/>
      <c r="GN198" s="27"/>
      <c r="GO198" s="27"/>
      <c r="GP198" s="27"/>
      <c r="GQ198" s="27"/>
      <c r="GR198" s="27"/>
      <c r="GS198" s="27"/>
      <c r="GT198" s="27"/>
      <c r="GU198" s="27"/>
      <c r="GV198" s="27"/>
      <c r="GW198" s="27"/>
      <c r="GX198" s="27"/>
      <c r="GY198" s="27"/>
      <c r="GZ198" s="27"/>
      <c r="HA198" s="27"/>
      <c r="HB198" s="27"/>
      <c r="HC198" s="27"/>
      <c r="HD198" s="27"/>
      <c r="HE198" s="27"/>
      <c r="HF198" s="27"/>
      <c r="HG198" s="27"/>
      <c r="HH198" s="27"/>
      <c r="HI198" s="27"/>
      <c r="HJ198" s="27"/>
      <c r="HK198" s="27"/>
      <c r="HL198" s="27"/>
      <c r="HM198" s="27"/>
      <c r="HN198" s="27"/>
      <c r="HO198" s="27"/>
      <c r="HP198" s="27"/>
      <c r="HQ198" s="27"/>
      <c r="HR198" s="27"/>
      <c r="HS198" s="27"/>
      <c r="HT198" s="27"/>
      <c r="HU198" s="27"/>
      <c r="HV198" s="27"/>
      <c r="HW198" s="27"/>
      <c r="HX198" s="27"/>
      <c r="HY198" s="27"/>
      <c r="HZ198" s="27"/>
      <c r="IA198" s="27"/>
      <c r="IB198" s="27"/>
      <c r="IC198" s="27"/>
      <c r="ID198" s="27"/>
      <c r="IE198" s="27"/>
      <c r="IF198" s="27"/>
      <c r="IG198" s="27"/>
      <c r="IH198" s="27"/>
      <c r="II198" s="27"/>
      <c r="IJ198" s="27"/>
      <c r="IK198" s="27"/>
      <c r="IL198" s="27"/>
      <c r="IM198" s="27"/>
      <c r="IN198" s="27"/>
      <c r="IO198" s="27"/>
      <c r="IP198" s="27"/>
      <c r="IQ198" s="27"/>
      <c r="IR198" s="27"/>
      <c r="IS198" s="27"/>
      <c r="IT198" s="27"/>
      <c r="IU198" s="27"/>
      <c r="IV198" s="27"/>
      <c r="IW198" s="27"/>
      <c r="IX198" s="27"/>
      <c r="IY198" s="27"/>
      <c r="IZ198" s="27"/>
      <c r="JA198" s="27"/>
      <c r="JB198" s="27"/>
      <c r="JC198" s="27"/>
      <c r="JD198" s="28"/>
    </row>
    <row r="199" spans="9:264" ht="7.5" customHeight="1" x14ac:dyDescent="0.25">
      <c r="I199" s="26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27"/>
      <c r="CH199" s="27"/>
      <c r="CI199" s="27"/>
      <c r="CJ199" s="28"/>
      <c r="CK199" s="2"/>
      <c r="CL199" s="2"/>
      <c r="CM199" s="2"/>
      <c r="CN199" s="2"/>
      <c r="CO199" s="2"/>
      <c r="CP199" s="2"/>
      <c r="CQ199" s="2"/>
      <c r="CR199" s="2"/>
      <c r="CS199" s="26"/>
      <c r="CT199" s="27"/>
      <c r="CU199" s="27"/>
      <c r="CV199" s="27"/>
      <c r="CW199" s="27"/>
      <c r="CX199" s="27"/>
      <c r="CY199" s="27"/>
      <c r="CZ199" s="27"/>
      <c r="DA199" s="27"/>
      <c r="DB199" s="27"/>
      <c r="DC199" s="27"/>
      <c r="DD199" s="27"/>
      <c r="DE199" s="27"/>
      <c r="DF199" s="27"/>
      <c r="DG199" s="27"/>
      <c r="DH199" s="27"/>
      <c r="DI199" s="27"/>
      <c r="DJ199" s="27"/>
      <c r="DK199" s="27"/>
      <c r="DL199" s="27"/>
      <c r="DM199" s="27"/>
      <c r="DN199" s="27"/>
      <c r="DO199" s="27"/>
      <c r="DP199" s="27"/>
      <c r="DQ199" s="27"/>
      <c r="DR199" s="27"/>
      <c r="DS199" s="27"/>
      <c r="DT199" s="27"/>
      <c r="DU199" s="27"/>
      <c r="DV199" s="27"/>
      <c r="DW199" s="27"/>
      <c r="DX199" s="27"/>
      <c r="DY199" s="27"/>
      <c r="DZ199" s="27"/>
      <c r="EA199" s="27"/>
      <c r="EB199" s="27"/>
      <c r="EC199" s="27"/>
      <c r="ED199" s="27"/>
      <c r="EE199" s="27"/>
      <c r="EF199" s="27"/>
      <c r="EG199" s="27"/>
      <c r="EH199" s="27"/>
      <c r="EI199" s="27"/>
      <c r="EJ199" s="27"/>
      <c r="EK199" s="27"/>
      <c r="EL199" s="27"/>
      <c r="EM199" s="27"/>
      <c r="EN199" s="27"/>
      <c r="EO199" s="27"/>
      <c r="EP199" s="27"/>
      <c r="EQ199" s="27"/>
      <c r="ER199" s="27"/>
      <c r="ES199" s="27"/>
      <c r="ET199" s="27"/>
      <c r="EU199" s="27"/>
      <c r="EV199" s="27"/>
      <c r="EW199" s="27"/>
      <c r="EX199" s="27"/>
      <c r="EY199" s="27"/>
      <c r="EZ199" s="27"/>
      <c r="FA199" s="27"/>
      <c r="FB199" s="27"/>
      <c r="FC199" s="27"/>
      <c r="FD199" s="27"/>
      <c r="FE199" s="27"/>
      <c r="FF199" s="27"/>
      <c r="FG199" s="27"/>
      <c r="FH199" s="27"/>
      <c r="FI199" s="27"/>
      <c r="FJ199" s="27"/>
      <c r="FK199" s="27"/>
      <c r="FL199" s="27"/>
      <c r="FM199" s="27"/>
      <c r="FN199" s="27"/>
      <c r="FO199" s="27"/>
      <c r="FP199" s="27"/>
      <c r="FQ199" s="27"/>
      <c r="FR199" s="27"/>
      <c r="FS199" s="27"/>
      <c r="FT199" s="28"/>
      <c r="FU199" s="2"/>
      <c r="FV199" s="2"/>
      <c r="FW199" s="2"/>
      <c r="FX199" s="2"/>
      <c r="FY199" s="2"/>
      <c r="FZ199" s="2"/>
      <c r="GA199" s="2"/>
      <c r="GB199" s="2"/>
      <c r="GC199" s="26"/>
      <c r="GD199" s="27"/>
      <c r="GE199" s="27"/>
      <c r="GF199" s="27"/>
      <c r="GG199" s="27"/>
      <c r="GH199" s="27"/>
      <c r="GI199" s="27"/>
      <c r="GJ199" s="27"/>
      <c r="GK199" s="27"/>
      <c r="GL199" s="27"/>
      <c r="GM199" s="27"/>
      <c r="GN199" s="27"/>
      <c r="GO199" s="27"/>
      <c r="GP199" s="27"/>
      <c r="GQ199" s="27"/>
      <c r="GR199" s="27"/>
      <c r="GS199" s="27"/>
      <c r="GT199" s="27"/>
      <c r="GU199" s="27"/>
      <c r="GV199" s="27"/>
      <c r="GW199" s="27"/>
      <c r="GX199" s="27"/>
      <c r="GY199" s="27"/>
      <c r="GZ199" s="27"/>
      <c r="HA199" s="27"/>
      <c r="HB199" s="27"/>
      <c r="HC199" s="27"/>
      <c r="HD199" s="27"/>
      <c r="HE199" s="27"/>
      <c r="HF199" s="27"/>
      <c r="HG199" s="27"/>
      <c r="HH199" s="27"/>
      <c r="HI199" s="27"/>
      <c r="HJ199" s="27"/>
      <c r="HK199" s="27"/>
      <c r="HL199" s="27"/>
      <c r="HM199" s="27"/>
      <c r="HN199" s="27"/>
      <c r="HO199" s="27"/>
      <c r="HP199" s="27"/>
      <c r="HQ199" s="27"/>
      <c r="HR199" s="27"/>
      <c r="HS199" s="27"/>
      <c r="HT199" s="27"/>
      <c r="HU199" s="27"/>
      <c r="HV199" s="27"/>
      <c r="HW199" s="27"/>
      <c r="HX199" s="27"/>
      <c r="HY199" s="27"/>
      <c r="HZ199" s="27"/>
      <c r="IA199" s="27"/>
      <c r="IB199" s="27"/>
      <c r="IC199" s="27"/>
      <c r="ID199" s="27"/>
      <c r="IE199" s="27"/>
      <c r="IF199" s="27"/>
      <c r="IG199" s="27"/>
      <c r="IH199" s="27"/>
      <c r="II199" s="27"/>
      <c r="IJ199" s="27"/>
      <c r="IK199" s="27"/>
      <c r="IL199" s="27"/>
      <c r="IM199" s="27"/>
      <c r="IN199" s="27"/>
      <c r="IO199" s="27"/>
      <c r="IP199" s="27"/>
      <c r="IQ199" s="27"/>
      <c r="IR199" s="27"/>
      <c r="IS199" s="27"/>
      <c r="IT199" s="27"/>
      <c r="IU199" s="27"/>
      <c r="IV199" s="27"/>
      <c r="IW199" s="27"/>
      <c r="IX199" s="27"/>
      <c r="IY199" s="27"/>
      <c r="IZ199" s="27"/>
      <c r="JA199" s="27"/>
      <c r="JB199" s="27"/>
      <c r="JC199" s="27"/>
      <c r="JD199" s="28"/>
    </row>
    <row r="200" spans="9:264" ht="7.5" customHeight="1" x14ac:dyDescent="0.25">
      <c r="I200" s="26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27"/>
      <c r="CH200" s="27"/>
      <c r="CI200" s="27"/>
      <c r="CJ200" s="28"/>
      <c r="CK200" s="2"/>
      <c r="CL200" s="2"/>
      <c r="CM200" s="2"/>
      <c r="CN200" s="2"/>
      <c r="CO200" s="2"/>
      <c r="CP200" s="2"/>
      <c r="CQ200" s="2"/>
      <c r="CR200" s="2"/>
      <c r="CS200" s="26"/>
      <c r="CT200" s="27"/>
      <c r="CU200" s="27"/>
      <c r="CV200" s="27"/>
      <c r="CW200" s="27"/>
      <c r="CX200" s="27"/>
      <c r="CY200" s="27"/>
      <c r="CZ200" s="27"/>
      <c r="DA200" s="27"/>
      <c r="DB200" s="27"/>
      <c r="DC200" s="27"/>
      <c r="DD200" s="27"/>
      <c r="DE200" s="27"/>
      <c r="DF200" s="27"/>
      <c r="DG200" s="27"/>
      <c r="DH200" s="27"/>
      <c r="DI200" s="27"/>
      <c r="DJ200" s="27"/>
      <c r="DK200" s="27"/>
      <c r="DL200" s="27"/>
      <c r="DM200" s="27"/>
      <c r="DN200" s="27"/>
      <c r="DO200" s="27"/>
      <c r="DP200" s="27"/>
      <c r="DQ200" s="27"/>
      <c r="DR200" s="27"/>
      <c r="DS200" s="27"/>
      <c r="DT200" s="27"/>
      <c r="DU200" s="27"/>
      <c r="DV200" s="27"/>
      <c r="DW200" s="27"/>
      <c r="DX200" s="27"/>
      <c r="DY200" s="27"/>
      <c r="DZ200" s="27"/>
      <c r="EA200" s="27"/>
      <c r="EB200" s="27"/>
      <c r="EC200" s="27"/>
      <c r="ED200" s="27"/>
      <c r="EE200" s="27"/>
      <c r="EF200" s="27"/>
      <c r="EG200" s="27"/>
      <c r="EH200" s="27"/>
      <c r="EI200" s="27"/>
      <c r="EJ200" s="27"/>
      <c r="EK200" s="27"/>
      <c r="EL200" s="27"/>
      <c r="EM200" s="27"/>
      <c r="EN200" s="27"/>
      <c r="EO200" s="27"/>
      <c r="EP200" s="27"/>
      <c r="EQ200" s="27"/>
      <c r="ER200" s="27"/>
      <c r="ES200" s="27"/>
      <c r="ET200" s="27"/>
      <c r="EU200" s="27"/>
      <c r="EV200" s="27"/>
      <c r="EW200" s="27"/>
      <c r="EX200" s="27"/>
      <c r="EY200" s="27"/>
      <c r="EZ200" s="27"/>
      <c r="FA200" s="27"/>
      <c r="FB200" s="27"/>
      <c r="FC200" s="27"/>
      <c r="FD200" s="27"/>
      <c r="FE200" s="27"/>
      <c r="FF200" s="27"/>
      <c r="FG200" s="27"/>
      <c r="FH200" s="27"/>
      <c r="FI200" s="27"/>
      <c r="FJ200" s="27"/>
      <c r="FK200" s="27"/>
      <c r="FL200" s="27"/>
      <c r="FM200" s="27"/>
      <c r="FN200" s="27"/>
      <c r="FO200" s="27"/>
      <c r="FP200" s="27"/>
      <c r="FQ200" s="27"/>
      <c r="FR200" s="27"/>
      <c r="FS200" s="27"/>
      <c r="FT200" s="28"/>
      <c r="FU200" s="2"/>
      <c r="FV200" s="2"/>
      <c r="FW200" s="2"/>
      <c r="FX200" s="2"/>
      <c r="FY200" s="2"/>
      <c r="FZ200" s="2"/>
      <c r="GA200" s="2"/>
      <c r="GB200" s="2"/>
      <c r="GC200" s="26"/>
      <c r="GD200" s="27"/>
      <c r="GE200" s="27"/>
      <c r="GF200" s="27"/>
      <c r="GG200" s="27"/>
      <c r="GH200" s="27"/>
      <c r="GI200" s="27"/>
      <c r="GJ200" s="27"/>
      <c r="GK200" s="27"/>
      <c r="GL200" s="27"/>
      <c r="GM200" s="27"/>
      <c r="GN200" s="27"/>
      <c r="GO200" s="27"/>
      <c r="GP200" s="27"/>
      <c r="GQ200" s="27"/>
      <c r="GR200" s="27"/>
      <c r="GS200" s="27"/>
      <c r="GT200" s="27"/>
      <c r="GU200" s="27"/>
      <c r="GV200" s="27"/>
      <c r="GW200" s="27"/>
      <c r="GX200" s="27"/>
      <c r="GY200" s="27"/>
      <c r="GZ200" s="27"/>
      <c r="HA200" s="27"/>
      <c r="HB200" s="27"/>
      <c r="HC200" s="27"/>
      <c r="HD200" s="27"/>
      <c r="HE200" s="27"/>
      <c r="HF200" s="27"/>
      <c r="HG200" s="27"/>
      <c r="HH200" s="27"/>
      <c r="HI200" s="27"/>
      <c r="HJ200" s="27"/>
      <c r="HK200" s="27"/>
      <c r="HL200" s="27"/>
      <c r="HM200" s="27"/>
      <c r="HN200" s="27"/>
      <c r="HO200" s="27"/>
      <c r="HP200" s="27"/>
      <c r="HQ200" s="27"/>
      <c r="HR200" s="27"/>
      <c r="HS200" s="27"/>
      <c r="HT200" s="27"/>
      <c r="HU200" s="27"/>
      <c r="HV200" s="27"/>
      <c r="HW200" s="27"/>
      <c r="HX200" s="27"/>
      <c r="HY200" s="27"/>
      <c r="HZ200" s="27"/>
      <c r="IA200" s="27"/>
      <c r="IB200" s="27"/>
      <c r="IC200" s="27"/>
      <c r="ID200" s="27"/>
      <c r="IE200" s="27"/>
      <c r="IF200" s="27"/>
      <c r="IG200" s="27"/>
      <c r="IH200" s="27"/>
      <c r="II200" s="27"/>
      <c r="IJ200" s="27"/>
      <c r="IK200" s="27"/>
      <c r="IL200" s="27"/>
      <c r="IM200" s="27"/>
      <c r="IN200" s="27"/>
      <c r="IO200" s="27"/>
      <c r="IP200" s="27"/>
      <c r="IQ200" s="27"/>
      <c r="IR200" s="27"/>
      <c r="IS200" s="27"/>
      <c r="IT200" s="27"/>
      <c r="IU200" s="27"/>
      <c r="IV200" s="27"/>
      <c r="IW200" s="27"/>
      <c r="IX200" s="27"/>
      <c r="IY200" s="27"/>
      <c r="IZ200" s="27"/>
      <c r="JA200" s="27"/>
      <c r="JB200" s="27"/>
      <c r="JC200" s="27"/>
      <c r="JD200" s="28"/>
    </row>
    <row r="201" spans="9:264" ht="7.5" customHeight="1" x14ac:dyDescent="0.25">
      <c r="I201" s="26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27"/>
      <c r="CH201" s="27"/>
      <c r="CI201" s="27"/>
      <c r="CJ201" s="28"/>
      <c r="CK201" s="2"/>
      <c r="CL201" s="2"/>
      <c r="CM201" s="2"/>
      <c r="CN201" s="2"/>
      <c r="CO201" s="2"/>
      <c r="CP201" s="2"/>
      <c r="CQ201" s="2"/>
      <c r="CR201" s="2"/>
      <c r="CS201" s="26"/>
      <c r="CT201" s="27"/>
      <c r="CU201" s="27"/>
      <c r="CV201" s="27"/>
      <c r="CW201" s="27"/>
      <c r="CX201" s="27"/>
      <c r="CY201" s="27"/>
      <c r="CZ201" s="27"/>
      <c r="DA201" s="27"/>
      <c r="DB201" s="27"/>
      <c r="DC201" s="27"/>
      <c r="DD201" s="27"/>
      <c r="DE201" s="27"/>
      <c r="DF201" s="27"/>
      <c r="DG201" s="27"/>
      <c r="DH201" s="27"/>
      <c r="DI201" s="27"/>
      <c r="DJ201" s="27"/>
      <c r="DK201" s="27"/>
      <c r="DL201" s="27"/>
      <c r="DM201" s="27"/>
      <c r="DN201" s="27"/>
      <c r="DO201" s="27"/>
      <c r="DP201" s="27"/>
      <c r="DQ201" s="27"/>
      <c r="DR201" s="27"/>
      <c r="DS201" s="27"/>
      <c r="DT201" s="27"/>
      <c r="DU201" s="27"/>
      <c r="DV201" s="27"/>
      <c r="DW201" s="27"/>
      <c r="DX201" s="27"/>
      <c r="DY201" s="27"/>
      <c r="DZ201" s="27"/>
      <c r="EA201" s="27"/>
      <c r="EB201" s="27"/>
      <c r="EC201" s="27"/>
      <c r="ED201" s="27"/>
      <c r="EE201" s="27"/>
      <c r="EF201" s="27"/>
      <c r="EG201" s="27"/>
      <c r="EH201" s="27"/>
      <c r="EI201" s="27"/>
      <c r="EJ201" s="27"/>
      <c r="EK201" s="27"/>
      <c r="EL201" s="27"/>
      <c r="EM201" s="27"/>
      <c r="EN201" s="27"/>
      <c r="EO201" s="27"/>
      <c r="EP201" s="27"/>
      <c r="EQ201" s="27"/>
      <c r="ER201" s="27"/>
      <c r="ES201" s="27"/>
      <c r="ET201" s="27"/>
      <c r="EU201" s="27"/>
      <c r="EV201" s="27"/>
      <c r="EW201" s="27"/>
      <c r="EX201" s="27"/>
      <c r="EY201" s="27"/>
      <c r="EZ201" s="27"/>
      <c r="FA201" s="27"/>
      <c r="FB201" s="27"/>
      <c r="FC201" s="27"/>
      <c r="FD201" s="27"/>
      <c r="FE201" s="27"/>
      <c r="FF201" s="27"/>
      <c r="FG201" s="27"/>
      <c r="FH201" s="27"/>
      <c r="FI201" s="27"/>
      <c r="FJ201" s="27"/>
      <c r="FK201" s="27"/>
      <c r="FL201" s="27"/>
      <c r="FM201" s="27"/>
      <c r="FN201" s="27"/>
      <c r="FO201" s="27"/>
      <c r="FP201" s="27"/>
      <c r="FQ201" s="27"/>
      <c r="FR201" s="27"/>
      <c r="FS201" s="27"/>
      <c r="FT201" s="28"/>
      <c r="FU201" s="2"/>
      <c r="FV201" s="2"/>
      <c r="FW201" s="2"/>
      <c r="FX201" s="2"/>
      <c r="FY201" s="2"/>
      <c r="FZ201" s="2"/>
      <c r="GA201" s="2"/>
      <c r="GB201" s="2"/>
      <c r="GC201" s="26"/>
      <c r="GD201" s="27"/>
      <c r="GE201" s="27"/>
      <c r="GF201" s="27"/>
      <c r="GG201" s="27"/>
      <c r="GH201" s="27"/>
      <c r="GI201" s="27"/>
      <c r="GJ201" s="27"/>
      <c r="GK201" s="27"/>
      <c r="GL201" s="27"/>
      <c r="GM201" s="27"/>
      <c r="GN201" s="27"/>
      <c r="GO201" s="27"/>
      <c r="GP201" s="27"/>
      <c r="GQ201" s="27"/>
      <c r="GR201" s="27"/>
      <c r="GS201" s="27"/>
      <c r="GT201" s="27"/>
      <c r="GU201" s="27"/>
      <c r="GV201" s="27"/>
      <c r="GW201" s="27"/>
      <c r="GX201" s="27"/>
      <c r="GY201" s="27"/>
      <c r="GZ201" s="27"/>
      <c r="HA201" s="27"/>
      <c r="HB201" s="27"/>
      <c r="HC201" s="27"/>
      <c r="HD201" s="27"/>
      <c r="HE201" s="27"/>
      <c r="HF201" s="27"/>
      <c r="HG201" s="27"/>
      <c r="HH201" s="27"/>
      <c r="HI201" s="27"/>
      <c r="HJ201" s="27"/>
      <c r="HK201" s="27"/>
      <c r="HL201" s="27"/>
      <c r="HM201" s="27"/>
      <c r="HN201" s="27"/>
      <c r="HO201" s="27"/>
      <c r="HP201" s="27"/>
      <c r="HQ201" s="27"/>
      <c r="HR201" s="27"/>
      <c r="HS201" s="27"/>
      <c r="HT201" s="27"/>
      <c r="HU201" s="27"/>
      <c r="HV201" s="27"/>
      <c r="HW201" s="27"/>
      <c r="HX201" s="27"/>
      <c r="HY201" s="27"/>
      <c r="HZ201" s="27"/>
      <c r="IA201" s="27"/>
      <c r="IB201" s="27"/>
      <c r="IC201" s="27"/>
      <c r="ID201" s="27"/>
      <c r="IE201" s="27"/>
      <c r="IF201" s="27"/>
      <c r="IG201" s="27"/>
      <c r="IH201" s="27"/>
      <c r="II201" s="27"/>
      <c r="IJ201" s="27"/>
      <c r="IK201" s="27"/>
      <c r="IL201" s="27"/>
      <c r="IM201" s="27"/>
      <c r="IN201" s="27"/>
      <c r="IO201" s="27"/>
      <c r="IP201" s="27"/>
      <c r="IQ201" s="27"/>
      <c r="IR201" s="27"/>
      <c r="IS201" s="27"/>
      <c r="IT201" s="27"/>
      <c r="IU201" s="27"/>
      <c r="IV201" s="27"/>
      <c r="IW201" s="27"/>
      <c r="IX201" s="27"/>
      <c r="IY201" s="27"/>
      <c r="IZ201" s="27"/>
      <c r="JA201" s="27"/>
      <c r="JB201" s="27"/>
      <c r="JC201" s="27"/>
      <c r="JD201" s="28"/>
    </row>
    <row r="202" spans="9:264" ht="7.5" customHeight="1" x14ac:dyDescent="0.25">
      <c r="I202" s="26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27"/>
      <c r="CH202" s="27"/>
      <c r="CI202" s="27"/>
      <c r="CJ202" s="28"/>
      <c r="CS202" s="26"/>
      <c r="CT202" s="27"/>
      <c r="CU202" s="27"/>
      <c r="CV202" s="27"/>
      <c r="CW202" s="27"/>
      <c r="CX202" s="27"/>
      <c r="CY202" s="27"/>
      <c r="CZ202" s="27"/>
      <c r="DA202" s="27"/>
      <c r="DB202" s="27"/>
      <c r="DC202" s="27"/>
      <c r="DD202" s="27"/>
      <c r="DE202" s="27"/>
      <c r="DF202" s="27"/>
      <c r="DG202" s="27"/>
      <c r="DH202" s="27"/>
      <c r="DI202" s="27"/>
      <c r="DJ202" s="27"/>
      <c r="DK202" s="27"/>
      <c r="DL202" s="27"/>
      <c r="DM202" s="27"/>
      <c r="DN202" s="27"/>
      <c r="DO202" s="27"/>
      <c r="DP202" s="27"/>
      <c r="DQ202" s="27"/>
      <c r="DR202" s="27"/>
      <c r="DS202" s="27"/>
      <c r="DT202" s="27"/>
      <c r="DU202" s="27"/>
      <c r="DV202" s="27"/>
      <c r="DW202" s="27"/>
      <c r="DX202" s="27"/>
      <c r="DY202" s="27"/>
      <c r="DZ202" s="27"/>
      <c r="EA202" s="27"/>
      <c r="EB202" s="27"/>
      <c r="EC202" s="27"/>
      <c r="ED202" s="27"/>
      <c r="EE202" s="27"/>
      <c r="EF202" s="27"/>
      <c r="EG202" s="27"/>
      <c r="EH202" s="27"/>
      <c r="EI202" s="27"/>
      <c r="EJ202" s="27"/>
      <c r="EK202" s="27"/>
      <c r="EL202" s="27"/>
      <c r="EM202" s="27"/>
      <c r="EN202" s="27"/>
      <c r="EO202" s="27"/>
      <c r="EP202" s="27"/>
      <c r="EQ202" s="27"/>
      <c r="ER202" s="27"/>
      <c r="ES202" s="27"/>
      <c r="ET202" s="27"/>
      <c r="EU202" s="27"/>
      <c r="EV202" s="27"/>
      <c r="EW202" s="27"/>
      <c r="EX202" s="27"/>
      <c r="EY202" s="27"/>
      <c r="EZ202" s="27"/>
      <c r="FA202" s="27"/>
      <c r="FB202" s="27"/>
      <c r="FC202" s="27"/>
      <c r="FD202" s="27"/>
      <c r="FE202" s="27"/>
      <c r="FF202" s="27"/>
      <c r="FG202" s="27"/>
      <c r="FH202" s="27"/>
      <c r="FI202" s="27"/>
      <c r="FJ202" s="27"/>
      <c r="FK202" s="27"/>
      <c r="FL202" s="27"/>
      <c r="FM202" s="27"/>
      <c r="FN202" s="27"/>
      <c r="FO202" s="27"/>
      <c r="FP202" s="27"/>
      <c r="FQ202" s="27"/>
      <c r="FR202" s="27"/>
      <c r="FS202" s="27"/>
      <c r="FT202" s="28"/>
      <c r="GC202" s="26"/>
      <c r="GD202" s="27"/>
      <c r="GE202" s="27"/>
      <c r="GF202" s="27"/>
      <c r="GG202" s="27"/>
      <c r="GH202" s="27"/>
      <c r="GI202" s="27"/>
      <c r="GJ202" s="27"/>
      <c r="GK202" s="27"/>
      <c r="GL202" s="27"/>
      <c r="GM202" s="27"/>
      <c r="GN202" s="27"/>
      <c r="GO202" s="27"/>
      <c r="GP202" s="27"/>
      <c r="GQ202" s="27"/>
      <c r="GR202" s="27"/>
      <c r="GS202" s="27"/>
      <c r="GT202" s="27"/>
      <c r="GU202" s="27"/>
      <c r="GV202" s="27"/>
      <c r="GW202" s="27"/>
      <c r="GX202" s="27"/>
      <c r="GY202" s="27"/>
      <c r="GZ202" s="27"/>
      <c r="HA202" s="27"/>
      <c r="HB202" s="27"/>
      <c r="HC202" s="27"/>
      <c r="HD202" s="27"/>
      <c r="HE202" s="27"/>
      <c r="HF202" s="27"/>
      <c r="HG202" s="27"/>
      <c r="HH202" s="27"/>
      <c r="HI202" s="27"/>
      <c r="HJ202" s="27"/>
      <c r="HK202" s="27"/>
      <c r="HL202" s="27"/>
      <c r="HM202" s="27"/>
      <c r="HN202" s="27"/>
      <c r="HO202" s="27"/>
      <c r="HP202" s="27"/>
      <c r="HQ202" s="27"/>
      <c r="HR202" s="27"/>
      <c r="HS202" s="27"/>
      <c r="HT202" s="27"/>
      <c r="HU202" s="27"/>
      <c r="HV202" s="27"/>
      <c r="HW202" s="27"/>
      <c r="HX202" s="27"/>
      <c r="HY202" s="27"/>
      <c r="HZ202" s="27"/>
      <c r="IA202" s="27"/>
      <c r="IB202" s="27"/>
      <c r="IC202" s="27"/>
      <c r="ID202" s="27"/>
      <c r="IE202" s="27"/>
      <c r="IF202" s="27"/>
      <c r="IG202" s="27"/>
      <c r="IH202" s="27"/>
      <c r="II202" s="27"/>
      <c r="IJ202" s="27"/>
      <c r="IK202" s="27"/>
      <c r="IL202" s="27"/>
      <c r="IM202" s="27"/>
      <c r="IN202" s="27"/>
      <c r="IO202" s="27"/>
      <c r="IP202" s="27"/>
      <c r="IQ202" s="27"/>
      <c r="IR202" s="27"/>
      <c r="IS202" s="27"/>
      <c r="IT202" s="27"/>
      <c r="IU202" s="27"/>
      <c r="IV202" s="27"/>
      <c r="IW202" s="27"/>
      <c r="IX202" s="27"/>
      <c r="IY202" s="27"/>
      <c r="IZ202" s="27"/>
      <c r="JA202" s="27"/>
      <c r="JB202" s="27"/>
      <c r="JC202" s="27"/>
      <c r="JD202" s="28"/>
    </row>
    <row r="203" spans="9:264" ht="7.5" customHeight="1" x14ac:dyDescent="0.25">
      <c r="I203" s="26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27"/>
      <c r="CH203" s="27"/>
      <c r="CI203" s="27"/>
      <c r="CJ203" s="28"/>
      <c r="CS203" s="26"/>
      <c r="CT203" s="27"/>
      <c r="CU203" s="27"/>
      <c r="CV203" s="27"/>
      <c r="CW203" s="27"/>
      <c r="CX203" s="27"/>
      <c r="CY203" s="27"/>
      <c r="CZ203" s="27"/>
      <c r="DA203" s="27"/>
      <c r="DB203" s="27"/>
      <c r="DC203" s="27"/>
      <c r="DD203" s="27"/>
      <c r="DE203" s="27"/>
      <c r="DF203" s="27"/>
      <c r="DG203" s="27"/>
      <c r="DH203" s="27"/>
      <c r="DI203" s="27"/>
      <c r="DJ203" s="27"/>
      <c r="DK203" s="27"/>
      <c r="DL203" s="27"/>
      <c r="DM203" s="27"/>
      <c r="DN203" s="27"/>
      <c r="DO203" s="27"/>
      <c r="DP203" s="27"/>
      <c r="DQ203" s="27"/>
      <c r="DR203" s="27"/>
      <c r="DS203" s="27"/>
      <c r="DT203" s="27"/>
      <c r="DU203" s="27"/>
      <c r="DV203" s="27"/>
      <c r="DW203" s="27"/>
      <c r="DX203" s="27"/>
      <c r="DY203" s="27"/>
      <c r="DZ203" s="27"/>
      <c r="EA203" s="27"/>
      <c r="EB203" s="27"/>
      <c r="EC203" s="27"/>
      <c r="ED203" s="27"/>
      <c r="EE203" s="27"/>
      <c r="EF203" s="27"/>
      <c r="EG203" s="27"/>
      <c r="EH203" s="27"/>
      <c r="EI203" s="27"/>
      <c r="EJ203" s="27"/>
      <c r="EK203" s="27"/>
      <c r="EL203" s="27"/>
      <c r="EM203" s="27"/>
      <c r="EN203" s="27"/>
      <c r="EO203" s="27"/>
      <c r="EP203" s="27"/>
      <c r="EQ203" s="27"/>
      <c r="ER203" s="27"/>
      <c r="ES203" s="27"/>
      <c r="ET203" s="27"/>
      <c r="EU203" s="27"/>
      <c r="EV203" s="27"/>
      <c r="EW203" s="27"/>
      <c r="EX203" s="27"/>
      <c r="EY203" s="27"/>
      <c r="EZ203" s="27"/>
      <c r="FA203" s="27"/>
      <c r="FB203" s="27"/>
      <c r="FC203" s="27"/>
      <c r="FD203" s="27"/>
      <c r="FE203" s="27"/>
      <c r="FF203" s="27"/>
      <c r="FG203" s="27"/>
      <c r="FH203" s="27"/>
      <c r="FI203" s="27"/>
      <c r="FJ203" s="27"/>
      <c r="FK203" s="27"/>
      <c r="FL203" s="27"/>
      <c r="FM203" s="27"/>
      <c r="FN203" s="27"/>
      <c r="FO203" s="27"/>
      <c r="FP203" s="27"/>
      <c r="FQ203" s="27"/>
      <c r="FR203" s="27"/>
      <c r="FS203" s="27"/>
      <c r="FT203" s="28"/>
      <c r="GC203" s="26"/>
      <c r="GD203" s="27"/>
      <c r="GE203" s="27"/>
      <c r="GF203" s="27"/>
      <c r="GG203" s="27"/>
      <c r="GH203" s="27"/>
      <c r="GI203" s="27"/>
      <c r="GJ203" s="27"/>
      <c r="GK203" s="27"/>
      <c r="GL203" s="27"/>
      <c r="GM203" s="27"/>
      <c r="GN203" s="27"/>
      <c r="GO203" s="27"/>
      <c r="GP203" s="27"/>
      <c r="GQ203" s="27"/>
      <c r="GR203" s="27"/>
      <c r="GS203" s="27"/>
      <c r="GT203" s="27"/>
      <c r="GU203" s="27"/>
      <c r="GV203" s="27"/>
      <c r="GW203" s="27"/>
      <c r="GX203" s="27"/>
      <c r="GY203" s="27"/>
      <c r="GZ203" s="27"/>
      <c r="HA203" s="27"/>
      <c r="HB203" s="27"/>
      <c r="HC203" s="27"/>
      <c r="HD203" s="27"/>
      <c r="HE203" s="27"/>
      <c r="HF203" s="27"/>
      <c r="HG203" s="27"/>
      <c r="HH203" s="27"/>
      <c r="HI203" s="27"/>
      <c r="HJ203" s="27"/>
      <c r="HK203" s="27"/>
      <c r="HL203" s="27"/>
      <c r="HM203" s="27"/>
      <c r="HN203" s="27"/>
      <c r="HO203" s="27"/>
      <c r="HP203" s="27"/>
      <c r="HQ203" s="27"/>
      <c r="HR203" s="27"/>
      <c r="HS203" s="27"/>
      <c r="HT203" s="27"/>
      <c r="HU203" s="27"/>
      <c r="HV203" s="27"/>
      <c r="HW203" s="27"/>
      <c r="HX203" s="27"/>
      <c r="HY203" s="27"/>
      <c r="HZ203" s="27"/>
      <c r="IA203" s="27"/>
      <c r="IB203" s="27"/>
      <c r="IC203" s="27"/>
      <c r="ID203" s="27"/>
      <c r="IE203" s="27"/>
      <c r="IF203" s="27"/>
      <c r="IG203" s="27"/>
      <c r="IH203" s="27"/>
      <c r="II203" s="27"/>
      <c r="IJ203" s="27"/>
      <c r="IK203" s="27"/>
      <c r="IL203" s="27"/>
      <c r="IM203" s="27"/>
      <c r="IN203" s="27"/>
      <c r="IO203" s="27"/>
      <c r="IP203" s="27"/>
      <c r="IQ203" s="27"/>
      <c r="IR203" s="27"/>
      <c r="IS203" s="27"/>
      <c r="IT203" s="27"/>
      <c r="IU203" s="27"/>
      <c r="IV203" s="27"/>
      <c r="IW203" s="27"/>
      <c r="IX203" s="27"/>
      <c r="IY203" s="27"/>
      <c r="IZ203" s="27"/>
      <c r="JA203" s="27"/>
      <c r="JB203" s="27"/>
      <c r="JC203" s="27"/>
      <c r="JD203" s="28"/>
    </row>
    <row r="204" spans="9:264" ht="7.5" customHeight="1" x14ac:dyDescent="0.25">
      <c r="I204" s="26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27"/>
      <c r="CH204" s="27"/>
      <c r="CI204" s="27"/>
      <c r="CJ204" s="28"/>
      <c r="CS204" s="26"/>
      <c r="CT204" s="27"/>
      <c r="CU204" s="27"/>
      <c r="CV204" s="27"/>
      <c r="CW204" s="27"/>
      <c r="CX204" s="27"/>
      <c r="CY204" s="27"/>
      <c r="CZ204" s="27"/>
      <c r="DA204" s="27"/>
      <c r="DB204" s="27"/>
      <c r="DC204" s="27"/>
      <c r="DD204" s="27"/>
      <c r="DE204" s="27"/>
      <c r="DF204" s="27"/>
      <c r="DG204" s="27"/>
      <c r="DH204" s="27"/>
      <c r="DI204" s="27"/>
      <c r="DJ204" s="27"/>
      <c r="DK204" s="27"/>
      <c r="DL204" s="27"/>
      <c r="DM204" s="27"/>
      <c r="DN204" s="27"/>
      <c r="DO204" s="27"/>
      <c r="DP204" s="27"/>
      <c r="DQ204" s="27"/>
      <c r="DR204" s="27"/>
      <c r="DS204" s="27"/>
      <c r="DT204" s="27"/>
      <c r="DU204" s="27"/>
      <c r="DV204" s="27"/>
      <c r="DW204" s="27"/>
      <c r="DX204" s="27"/>
      <c r="DY204" s="27"/>
      <c r="DZ204" s="27"/>
      <c r="EA204" s="27"/>
      <c r="EB204" s="27"/>
      <c r="EC204" s="27"/>
      <c r="ED204" s="27"/>
      <c r="EE204" s="27"/>
      <c r="EF204" s="27"/>
      <c r="EG204" s="27"/>
      <c r="EH204" s="27"/>
      <c r="EI204" s="27"/>
      <c r="EJ204" s="27"/>
      <c r="EK204" s="27"/>
      <c r="EL204" s="27"/>
      <c r="EM204" s="27"/>
      <c r="EN204" s="27"/>
      <c r="EO204" s="27"/>
      <c r="EP204" s="27"/>
      <c r="EQ204" s="27"/>
      <c r="ER204" s="27"/>
      <c r="ES204" s="27"/>
      <c r="ET204" s="27"/>
      <c r="EU204" s="27"/>
      <c r="EV204" s="27"/>
      <c r="EW204" s="27"/>
      <c r="EX204" s="27"/>
      <c r="EY204" s="27"/>
      <c r="EZ204" s="27"/>
      <c r="FA204" s="27"/>
      <c r="FB204" s="27"/>
      <c r="FC204" s="27"/>
      <c r="FD204" s="27"/>
      <c r="FE204" s="27"/>
      <c r="FF204" s="27"/>
      <c r="FG204" s="27"/>
      <c r="FH204" s="27"/>
      <c r="FI204" s="27"/>
      <c r="FJ204" s="27"/>
      <c r="FK204" s="27"/>
      <c r="FL204" s="27"/>
      <c r="FM204" s="27"/>
      <c r="FN204" s="27"/>
      <c r="FO204" s="27"/>
      <c r="FP204" s="27"/>
      <c r="FQ204" s="27"/>
      <c r="FR204" s="27"/>
      <c r="FS204" s="27"/>
      <c r="FT204" s="28"/>
      <c r="GC204" s="26"/>
      <c r="GD204" s="27"/>
      <c r="GE204" s="27"/>
      <c r="GF204" s="27"/>
      <c r="GG204" s="27"/>
      <c r="GH204" s="27"/>
      <c r="GI204" s="27"/>
      <c r="GJ204" s="27"/>
      <c r="GK204" s="27"/>
      <c r="GL204" s="27"/>
      <c r="GM204" s="27"/>
      <c r="GN204" s="27"/>
      <c r="GO204" s="27"/>
      <c r="GP204" s="27"/>
      <c r="GQ204" s="27"/>
      <c r="GR204" s="27"/>
      <c r="GS204" s="27"/>
      <c r="GT204" s="27"/>
      <c r="GU204" s="27"/>
      <c r="GV204" s="27"/>
      <c r="GW204" s="27"/>
      <c r="GX204" s="27"/>
      <c r="GY204" s="27"/>
      <c r="GZ204" s="27"/>
      <c r="HA204" s="27"/>
      <c r="HB204" s="27"/>
      <c r="HC204" s="27"/>
      <c r="HD204" s="27"/>
      <c r="HE204" s="27"/>
      <c r="HF204" s="27"/>
      <c r="HG204" s="27"/>
      <c r="HH204" s="27"/>
      <c r="HI204" s="27"/>
      <c r="HJ204" s="27"/>
      <c r="HK204" s="27"/>
      <c r="HL204" s="27"/>
      <c r="HM204" s="27"/>
      <c r="HN204" s="27"/>
      <c r="HO204" s="27"/>
      <c r="HP204" s="27"/>
      <c r="HQ204" s="27"/>
      <c r="HR204" s="27"/>
      <c r="HS204" s="27"/>
      <c r="HT204" s="27"/>
      <c r="HU204" s="27"/>
      <c r="HV204" s="27"/>
      <c r="HW204" s="27"/>
      <c r="HX204" s="27"/>
      <c r="HY204" s="27"/>
      <c r="HZ204" s="27"/>
      <c r="IA204" s="27"/>
      <c r="IB204" s="27"/>
      <c r="IC204" s="27"/>
      <c r="ID204" s="27"/>
      <c r="IE204" s="27"/>
      <c r="IF204" s="27"/>
      <c r="IG204" s="27"/>
      <c r="IH204" s="27"/>
      <c r="II204" s="27"/>
      <c r="IJ204" s="27"/>
      <c r="IK204" s="27"/>
      <c r="IL204" s="27"/>
      <c r="IM204" s="27"/>
      <c r="IN204" s="27"/>
      <c r="IO204" s="27"/>
      <c r="IP204" s="27"/>
      <c r="IQ204" s="27"/>
      <c r="IR204" s="27"/>
      <c r="IS204" s="27"/>
      <c r="IT204" s="27"/>
      <c r="IU204" s="27"/>
      <c r="IV204" s="27"/>
      <c r="IW204" s="27"/>
      <c r="IX204" s="27"/>
      <c r="IY204" s="27"/>
      <c r="IZ204" s="27"/>
      <c r="JA204" s="27"/>
      <c r="JB204" s="27"/>
      <c r="JC204" s="27"/>
      <c r="JD204" s="28"/>
    </row>
    <row r="205" spans="9:264" ht="7.5" customHeight="1" x14ac:dyDescent="0.25">
      <c r="I205" s="26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27"/>
      <c r="CH205" s="27"/>
      <c r="CI205" s="27"/>
      <c r="CJ205" s="28"/>
      <c r="CS205" s="26"/>
      <c r="CT205" s="27"/>
      <c r="CU205" s="27"/>
      <c r="CV205" s="27"/>
      <c r="CW205" s="27"/>
      <c r="CX205" s="27"/>
      <c r="CY205" s="27"/>
      <c r="CZ205" s="27"/>
      <c r="DA205" s="27"/>
      <c r="DB205" s="27"/>
      <c r="DC205" s="27"/>
      <c r="DD205" s="27"/>
      <c r="DE205" s="27"/>
      <c r="DF205" s="27"/>
      <c r="DG205" s="27"/>
      <c r="DH205" s="27"/>
      <c r="DI205" s="27"/>
      <c r="DJ205" s="27"/>
      <c r="DK205" s="27"/>
      <c r="DL205" s="27"/>
      <c r="DM205" s="27"/>
      <c r="DN205" s="27"/>
      <c r="DO205" s="27"/>
      <c r="DP205" s="27"/>
      <c r="DQ205" s="27"/>
      <c r="DR205" s="27"/>
      <c r="DS205" s="27"/>
      <c r="DT205" s="27"/>
      <c r="DU205" s="27"/>
      <c r="DV205" s="27"/>
      <c r="DW205" s="27"/>
      <c r="DX205" s="27"/>
      <c r="DY205" s="27"/>
      <c r="DZ205" s="27"/>
      <c r="EA205" s="27"/>
      <c r="EB205" s="27"/>
      <c r="EC205" s="27"/>
      <c r="ED205" s="27"/>
      <c r="EE205" s="27"/>
      <c r="EF205" s="27"/>
      <c r="EG205" s="27"/>
      <c r="EH205" s="27"/>
      <c r="EI205" s="27"/>
      <c r="EJ205" s="27"/>
      <c r="EK205" s="27"/>
      <c r="EL205" s="27"/>
      <c r="EM205" s="27"/>
      <c r="EN205" s="27"/>
      <c r="EO205" s="27"/>
      <c r="EP205" s="27"/>
      <c r="EQ205" s="27"/>
      <c r="ER205" s="27"/>
      <c r="ES205" s="27"/>
      <c r="ET205" s="27"/>
      <c r="EU205" s="27"/>
      <c r="EV205" s="27"/>
      <c r="EW205" s="27"/>
      <c r="EX205" s="27"/>
      <c r="EY205" s="27"/>
      <c r="EZ205" s="27"/>
      <c r="FA205" s="27"/>
      <c r="FB205" s="27"/>
      <c r="FC205" s="27"/>
      <c r="FD205" s="27"/>
      <c r="FE205" s="27"/>
      <c r="FF205" s="27"/>
      <c r="FG205" s="27"/>
      <c r="FH205" s="27"/>
      <c r="FI205" s="27"/>
      <c r="FJ205" s="27"/>
      <c r="FK205" s="27"/>
      <c r="FL205" s="27"/>
      <c r="FM205" s="27"/>
      <c r="FN205" s="27"/>
      <c r="FO205" s="27"/>
      <c r="FP205" s="27"/>
      <c r="FQ205" s="27"/>
      <c r="FR205" s="27"/>
      <c r="FS205" s="27"/>
      <c r="FT205" s="28"/>
      <c r="GC205" s="26"/>
      <c r="GD205" s="27"/>
      <c r="GE205" s="27"/>
      <c r="GF205" s="27"/>
      <c r="GG205" s="27"/>
      <c r="GH205" s="27"/>
      <c r="GI205" s="27"/>
      <c r="GJ205" s="27"/>
      <c r="GK205" s="27"/>
      <c r="GL205" s="27"/>
      <c r="GM205" s="27"/>
      <c r="GN205" s="27"/>
      <c r="GO205" s="27"/>
      <c r="GP205" s="27"/>
      <c r="GQ205" s="27"/>
      <c r="GR205" s="27"/>
      <c r="GS205" s="27"/>
      <c r="GT205" s="27"/>
      <c r="GU205" s="27"/>
      <c r="GV205" s="27"/>
      <c r="GW205" s="27"/>
      <c r="GX205" s="27"/>
      <c r="GY205" s="27"/>
      <c r="GZ205" s="27"/>
      <c r="HA205" s="27"/>
      <c r="HB205" s="27"/>
      <c r="HC205" s="27"/>
      <c r="HD205" s="27"/>
      <c r="HE205" s="27"/>
      <c r="HF205" s="27"/>
      <c r="HG205" s="27"/>
      <c r="HH205" s="27"/>
      <c r="HI205" s="27"/>
      <c r="HJ205" s="27"/>
      <c r="HK205" s="27"/>
      <c r="HL205" s="27"/>
      <c r="HM205" s="27"/>
      <c r="HN205" s="27"/>
      <c r="HO205" s="27"/>
      <c r="HP205" s="27"/>
      <c r="HQ205" s="27"/>
      <c r="HR205" s="27"/>
      <c r="HS205" s="27"/>
      <c r="HT205" s="27"/>
      <c r="HU205" s="27"/>
      <c r="HV205" s="27"/>
      <c r="HW205" s="27"/>
      <c r="HX205" s="27"/>
      <c r="HY205" s="27"/>
      <c r="HZ205" s="27"/>
      <c r="IA205" s="27"/>
      <c r="IB205" s="27"/>
      <c r="IC205" s="27"/>
      <c r="ID205" s="27"/>
      <c r="IE205" s="27"/>
      <c r="IF205" s="27"/>
      <c r="IG205" s="27"/>
      <c r="IH205" s="27"/>
      <c r="II205" s="27"/>
      <c r="IJ205" s="27"/>
      <c r="IK205" s="27"/>
      <c r="IL205" s="27"/>
      <c r="IM205" s="27"/>
      <c r="IN205" s="27"/>
      <c r="IO205" s="27"/>
      <c r="IP205" s="27"/>
      <c r="IQ205" s="27"/>
      <c r="IR205" s="27"/>
      <c r="IS205" s="27"/>
      <c r="IT205" s="27"/>
      <c r="IU205" s="27"/>
      <c r="IV205" s="27"/>
      <c r="IW205" s="27"/>
      <c r="IX205" s="27"/>
      <c r="IY205" s="27"/>
      <c r="IZ205" s="27"/>
      <c r="JA205" s="27"/>
      <c r="JB205" s="27"/>
      <c r="JC205" s="27"/>
      <c r="JD205" s="28"/>
    </row>
    <row r="206" spans="9:264" ht="7.5" customHeight="1" x14ac:dyDescent="0.25">
      <c r="I206" s="26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27"/>
      <c r="CH206" s="27"/>
      <c r="CI206" s="27"/>
      <c r="CJ206" s="28"/>
      <c r="CS206" s="26"/>
      <c r="CT206" s="27"/>
      <c r="CU206" s="27"/>
      <c r="CV206" s="27"/>
      <c r="CW206" s="27"/>
      <c r="CX206" s="27"/>
      <c r="CY206" s="27"/>
      <c r="CZ206" s="27"/>
      <c r="DA206" s="27"/>
      <c r="DB206" s="27"/>
      <c r="DC206" s="27"/>
      <c r="DD206" s="27"/>
      <c r="DE206" s="27"/>
      <c r="DF206" s="27"/>
      <c r="DG206" s="27"/>
      <c r="DH206" s="27"/>
      <c r="DI206" s="27"/>
      <c r="DJ206" s="27"/>
      <c r="DK206" s="27"/>
      <c r="DL206" s="27"/>
      <c r="DM206" s="27"/>
      <c r="DN206" s="27"/>
      <c r="DO206" s="27"/>
      <c r="DP206" s="27"/>
      <c r="DQ206" s="27"/>
      <c r="DR206" s="27"/>
      <c r="DS206" s="27"/>
      <c r="DT206" s="27"/>
      <c r="DU206" s="27"/>
      <c r="DV206" s="27"/>
      <c r="DW206" s="27"/>
      <c r="DX206" s="27"/>
      <c r="DY206" s="27"/>
      <c r="DZ206" s="27"/>
      <c r="EA206" s="27"/>
      <c r="EB206" s="27"/>
      <c r="EC206" s="27"/>
      <c r="ED206" s="27"/>
      <c r="EE206" s="27"/>
      <c r="EF206" s="27"/>
      <c r="EG206" s="27"/>
      <c r="EH206" s="27"/>
      <c r="EI206" s="27"/>
      <c r="EJ206" s="27"/>
      <c r="EK206" s="27"/>
      <c r="EL206" s="27"/>
      <c r="EM206" s="27"/>
      <c r="EN206" s="27"/>
      <c r="EO206" s="27"/>
      <c r="EP206" s="27"/>
      <c r="EQ206" s="27"/>
      <c r="ER206" s="27"/>
      <c r="ES206" s="27"/>
      <c r="ET206" s="27"/>
      <c r="EU206" s="27"/>
      <c r="EV206" s="27"/>
      <c r="EW206" s="27"/>
      <c r="EX206" s="27"/>
      <c r="EY206" s="27"/>
      <c r="EZ206" s="27"/>
      <c r="FA206" s="27"/>
      <c r="FB206" s="27"/>
      <c r="FC206" s="27"/>
      <c r="FD206" s="27"/>
      <c r="FE206" s="27"/>
      <c r="FF206" s="27"/>
      <c r="FG206" s="27"/>
      <c r="FH206" s="27"/>
      <c r="FI206" s="27"/>
      <c r="FJ206" s="27"/>
      <c r="FK206" s="27"/>
      <c r="FL206" s="27"/>
      <c r="FM206" s="27"/>
      <c r="FN206" s="27"/>
      <c r="FO206" s="27"/>
      <c r="FP206" s="27"/>
      <c r="FQ206" s="27"/>
      <c r="FR206" s="27"/>
      <c r="FS206" s="27"/>
      <c r="FT206" s="28"/>
      <c r="GC206" s="26"/>
      <c r="GD206" s="27"/>
      <c r="GE206" s="27"/>
      <c r="GF206" s="27"/>
      <c r="GG206" s="27"/>
      <c r="GH206" s="27"/>
      <c r="GI206" s="27"/>
      <c r="GJ206" s="27"/>
      <c r="GK206" s="27"/>
      <c r="GL206" s="27"/>
      <c r="GM206" s="27"/>
      <c r="GN206" s="27"/>
      <c r="GO206" s="27"/>
      <c r="GP206" s="27"/>
      <c r="GQ206" s="27"/>
      <c r="GR206" s="27"/>
      <c r="GS206" s="27"/>
      <c r="GT206" s="27"/>
      <c r="GU206" s="27"/>
      <c r="GV206" s="27"/>
      <c r="GW206" s="27"/>
      <c r="GX206" s="27"/>
      <c r="GY206" s="27"/>
      <c r="GZ206" s="27"/>
      <c r="HA206" s="27"/>
      <c r="HB206" s="27"/>
      <c r="HC206" s="27"/>
      <c r="HD206" s="27"/>
      <c r="HE206" s="27"/>
      <c r="HF206" s="27"/>
      <c r="HG206" s="27"/>
      <c r="HH206" s="27"/>
      <c r="HI206" s="27"/>
      <c r="HJ206" s="27"/>
      <c r="HK206" s="27"/>
      <c r="HL206" s="27"/>
      <c r="HM206" s="27"/>
      <c r="HN206" s="27"/>
      <c r="HO206" s="27"/>
      <c r="HP206" s="27"/>
      <c r="HQ206" s="27"/>
      <c r="HR206" s="27"/>
      <c r="HS206" s="27"/>
      <c r="HT206" s="27"/>
      <c r="HU206" s="27"/>
      <c r="HV206" s="27"/>
      <c r="HW206" s="27"/>
      <c r="HX206" s="27"/>
      <c r="HY206" s="27"/>
      <c r="HZ206" s="27"/>
      <c r="IA206" s="27"/>
      <c r="IB206" s="27"/>
      <c r="IC206" s="27"/>
      <c r="ID206" s="27"/>
      <c r="IE206" s="27"/>
      <c r="IF206" s="27"/>
      <c r="IG206" s="27"/>
      <c r="IH206" s="27"/>
      <c r="II206" s="27"/>
      <c r="IJ206" s="27"/>
      <c r="IK206" s="27"/>
      <c r="IL206" s="27"/>
      <c r="IM206" s="27"/>
      <c r="IN206" s="27"/>
      <c r="IO206" s="27"/>
      <c r="IP206" s="27"/>
      <c r="IQ206" s="27"/>
      <c r="IR206" s="27"/>
      <c r="IS206" s="27"/>
      <c r="IT206" s="27"/>
      <c r="IU206" s="27"/>
      <c r="IV206" s="27"/>
      <c r="IW206" s="27"/>
      <c r="IX206" s="27"/>
      <c r="IY206" s="27"/>
      <c r="IZ206" s="27"/>
      <c r="JA206" s="27"/>
      <c r="JB206" s="27"/>
      <c r="JC206" s="27"/>
      <c r="JD206" s="28"/>
    </row>
    <row r="207" spans="9:264" ht="7.5" customHeight="1" x14ac:dyDescent="0.25">
      <c r="I207" s="26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27"/>
      <c r="CH207" s="27"/>
      <c r="CI207" s="27"/>
      <c r="CJ207" s="28"/>
      <c r="CS207" s="26"/>
      <c r="CT207" s="27"/>
      <c r="CU207" s="27"/>
      <c r="CV207" s="27"/>
      <c r="CW207" s="27"/>
      <c r="CX207" s="27"/>
      <c r="CY207" s="27"/>
      <c r="CZ207" s="27"/>
      <c r="DA207" s="27"/>
      <c r="DB207" s="27"/>
      <c r="DC207" s="27"/>
      <c r="DD207" s="27"/>
      <c r="DE207" s="27"/>
      <c r="DF207" s="27"/>
      <c r="DG207" s="27"/>
      <c r="DH207" s="27"/>
      <c r="DI207" s="27"/>
      <c r="DJ207" s="27"/>
      <c r="DK207" s="27"/>
      <c r="DL207" s="27"/>
      <c r="DM207" s="27"/>
      <c r="DN207" s="27"/>
      <c r="DO207" s="27"/>
      <c r="DP207" s="27"/>
      <c r="DQ207" s="27"/>
      <c r="DR207" s="27"/>
      <c r="DS207" s="27"/>
      <c r="DT207" s="27"/>
      <c r="DU207" s="27"/>
      <c r="DV207" s="27"/>
      <c r="DW207" s="27"/>
      <c r="DX207" s="27"/>
      <c r="DY207" s="27"/>
      <c r="DZ207" s="27"/>
      <c r="EA207" s="27"/>
      <c r="EB207" s="27"/>
      <c r="EC207" s="27"/>
      <c r="ED207" s="27"/>
      <c r="EE207" s="27"/>
      <c r="EF207" s="27"/>
      <c r="EG207" s="27"/>
      <c r="EH207" s="27"/>
      <c r="EI207" s="27"/>
      <c r="EJ207" s="27"/>
      <c r="EK207" s="27"/>
      <c r="EL207" s="27"/>
      <c r="EM207" s="27"/>
      <c r="EN207" s="27"/>
      <c r="EO207" s="27"/>
      <c r="EP207" s="27"/>
      <c r="EQ207" s="27"/>
      <c r="ER207" s="27"/>
      <c r="ES207" s="27"/>
      <c r="ET207" s="27"/>
      <c r="EU207" s="27"/>
      <c r="EV207" s="27"/>
      <c r="EW207" s="27"/>
      <c r="EX207" s="27"/>
      <c r="EY207" s="27"/>
      <c r="EZ207" s="27"/>
      <c r="FA207" s="27"/>
      <c r="FB207" s="27"/>
      <c r="FC207" s="27"/>
      <c r="FD207" s="27"/>
      <c r="FE207" s="27"/>
      <c r="FF207" s="27"/>
      <c r="FG207" s="27"/>
      <c r="FH207" s="27"/>
      <c r="FI207" s="27"/>
      <c r="FJ207" s="27"/>
      <c r="FK207" s="27"/>
      <c r="FL207" s="27"/>
      <c r="FM207" s="27"/>
      <c r="FN207" s="27"/>
      <c r="FO207" s="27"/>
      <c r="FP207" s="27"/>
      <c r="FQ207" s="27"/>
      <c r="FR207" s="27"/>
      <c r="FS207" s="27"/>
      <c r="FT207" s="28"/>
      <c r="GC207" s="26"/>
      <c r="GD207" s="27"/>
      <c r="GE207" s="27"/>
      <c r="GF207" s="27"/>
      <c r="GG207" s="27"/>
      <c r="GH207" s="27"/>
      <c r="GI207" s="27"/>
      <c r="GJ207" s="27"/>
      <c r="GK207" s="27"/>
      <c r="GL207" s="27"/>
      <c r="GM207" s="27"/>
      <c r="GN207" s="27"/>
      <c r="GO207" s="27"/>
      <c r="GP207" s="27"/>
      <c r="GQ207" s="27"/>
      <c r="GR207" s="27"/>
      <c r="GS207" s="27"/>
      <c r="GT207" s="27"/>
      <c r="GU207" s="27"/>
      <c r="GV207" s="27"/>
      <c r="GW207" s="27"/>
      <c r="GX207" s="27"/>
      <c r="GY207" s="27"/>
      <c r="GZ207" s="27"/>
      <c r="HA207" s="27"/>
      <c r="HB207" s="27"/>
      <c r="HC207" s="27"/>
      <c r="HD207" s="27"/>
      <c r="HE207" s="27"/>
      <c r="HF207" s="27"/>
      <c r="HG207" s="27"/>
      <c r="HH207" s="27"/>
      <c r="HI207" s="27"/>
      <c r="HJ207" s="27"/>
      <c r="HK207" s="27"/>
      <c r="HL207" s="27"/>
      <c r="HM207" s="27"/>
      <c r="HN207" s="27"/>
      <c r="HO207" s="27"/>
      <c r="HP207" s="27"/>
      <c r="HQ207" s="27"/>
      <c r="HR207" s="27"/>
      <c r="HS207" s="27"/>
      <c r="HT207" s="27"/>
      <c r="HU207" s="27"/>
      <c r="HV207" s="27"/>
      <c r="HW207" s="27"/>
      <c r="HX207" s="27"/>
      <c r="HY207" s="27"/>
      <c r="HZ207" s="27"/>
      <c r="IA207" s="27"/>
      <c r="IB207" s="27"/>
      <c r="IC207" s="27"/>
      <c r="ID207" s="27"/>
      <c r="IE207" s="27"/>
      <c r="IF207" s="27"/>
      <c r="IG207" s="27"/>
      <c r="IH207" s="27"/>
      <c r="II207" s="27"/>
      <c r="IJ207" s="27"/>
      <c r="IK207" s="27"/>
      <c r="IL207" s="27"/>
      <c r="IM207" s="27"/>
      <c r="IN207" s="27"/>
      <c r="IO207" s="27"/>
      <c r="IP207" s="27"/>
      <c r="IQ207" s="27"/>
      <c r="IR207" s="27"/>
      <c r="IS207" s="27"/>
      <c r="IT207" s="27"/>
      <c r="IU207" s="27"/>
      <c r="IV207" s="27"/>
      <c r="IW207" s="27"/>
      <c r="IX207" s="27"/>
      <c r="IY207" s="27"/>
      <c r="IZ207" s="27"/>
      <c r="JA207" s="27"/>
      <c r="JB207" s="27"/>
      <c r="JC207" s="27"/>
      <c r="JD207" s="28"/>
    </row>
    <row r="208" spans="9:264" ht="7.5" customHeight="1" x14ac:dyDescent="0.25">
      <c r="I208" s="26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27"/>
      <c r="CH208" s="27"/>
      <c r="CI208" s="27"/>
      <c r="CJ208" s="28"/>
      <c r="CS208" s="26"/>
      <c r="CT208" s="27"/>
      <c r="CU208" s="27"/>
      <c r="CV208" s="27"/>
      <c r="CW208" s="27"/>
      <c r="CX208" s="27"/>
      <c r="CY208" s="27"/>
      <c r="CZ208" s="27"/>
      <c r="DA208" s="27"/>
      <c r="DB208" s="27"/>
      <c r="DC208" s="27"/>
      <c r="DD208" s="27"/>
      <c r="DE208" s="27"/>
      <c r="DF208" s="27"/>
      <c r="DG208" s="27"/>
      <c r="DH208" s="27"/>
      <c r="DI208" s="27"/>
      <c r="DJ208" s="27"/>
      <c r="DK208" s="27"/>
      <c r="DL208" s="27"/>
      <c r="DM208" s="27"/>
      <c r="DN208" s="27"/>
      <c r="DO208" s="27"/>
      <c r="DP208" s="27"/>
      <c r="DQ208" s="27"/>
      <c r="DR208" s="27"/>
      <c r="DS208" s="27"/>
      <c r="DT208" s="27"/>
      <c r="DU208" s="27"/>
      <c r="DV208" s="27"/>
      <c r="DW208" s="27"/>
      <c r="DX208" s="27"/>
      <c r="DY208" s="27"/>
      <c r="DZ208" s="27"/>
      <c r="EA208" s="27"/>
      <c r="EB208" s="27"/>
      <c r="EC208" s="27"/>
      <c r="ED208" s="27"/>
      <c r="EE208" s="27"/>
      <c r="EF208" s="27"/>
      <c r="EG208" s="27"/>
      <c r="EH208" s="27"/>
      <c r="EI208" s="27"/>
      <c r="EJ208" s="27"/>
      <c r="EK208" s="27"/>
      <c r="EL208" s="27"/>
      <c r="EM208" s="27"/>
      <c r="EN208" s="27"/>
      <c r="EO208" s="27"/>
      <c r="EP208" s="27"/>
      <c r="EQ208" s="27"/>
      <c r="ER208" s="27"/>
      <c r="ES208" s="27"/>
      <c r="ET208" s="27"/>
      <c r="EU208" s="27"/>
      <c r="EV208" s="27"/>
      <c r="EW208" s="27"/>
      <c r="EX208" s="27"/>
      <c r="EY208" s="27"/>
      <c r="EZ208" s="27"/>
      <c r="FA208" s="27"/>
      <c r="FB208" s="27"/>
      <c r="FC208" s="27"/>
      <c r="FD208" s="27"/>
      <c r="FE208" s="27"/>
      <c r="FF208" s="27"/>
      <c r="FG208" s="27"/>
      <c r="FH208" s="27"/>
      <c r="FI208" s="27"/>
      <c r="FJ208" s="27"/>
      <c r="FK208" s="27"/>
      <c r="FL208" s="27"/>
      <c r="FM208" s="27"/>
      <c r="FN208" s="27"/>
      <c r="FO208" s="27"/>
      <c r="FP208" s="27"/>
      <c r="FQ208" s="27"/>
      <c r="FR208" s="27"/>
      <c r="FS208" s="27"/>
      <c r="FT208" s="28"/>
      <c r="GC208" s="26"/>
      <c r="GD208" s="27"/>
      <c r="GE208" s="27"/>
      <c r="GF208" s="27"/>
      <c r="GG208" s="27"/>
      <c r="GH208" s="27"/>
      <c r="GI208" s="27"/>
      <c r="GJ208" s="27"/>
      <c r="GK208" s="27"/>
      <c r="GL208" s="27"/>
      <c r="GM208" s="27"/>
      <c r="GN208" s="27"/>
      <c r="GO208" s="27"/>
      <c r="GP208" s="27"/>
      <c r="GQ208" s="27"/>
      <c r="GR208" s="27"/>
      <c r="GS208" s="27"/>
      <c r="GT208" s="27"/>
      <c r="GU208" s="27"/>
      <c r="GV208" s="27"/>
      <c r="GW208" s="27"/>
      <c r="GX208" s="27"/>
      <c r="GY208" s="27"/>
      <c r="GZ208" s="27"/>
      <c r="HA208" s="27"/>
      <c r="HB208" s="27"/>
      <c r="HC208" s="27"/>
      <c r="HD208" s="27"/>
      <c r="HE208" s="27"/>
      <c r="HF208" s="27"/>
      <c r="HG208" s="27"/>
      <c r="HH208" s="27"/>
      <c r="HI208" s="27"/>
      <c r="HJ208" s="27"/>
      <c r="HK208" s="27"/>
      <c r="HL208" s="27"/>
      <c r="HM208" s="27"/>
      <c r="HN208" s="27"/>
      <c r="HO208" s="27"/>
      <c r="HP208" s="27"/>
      <c r="HQ208" s="27"/>
      <c r="HR208" s="27"/>
      <c r="HS208" s="27"/>
      <c r="HT208" s="27"/>
      <c r="HU208" s="27"/>
      <c r="HV208" s="27"/>
      <c r="HW208" s="27"/>
      <c r="HX208" s="27"/>
      <c r="HY208" s="27"/>
      <c r="HZ208" s="27"/>
      <c r="IA208" s="27"/>
      <c r="IB208" s="27"/>
      <c r="IC208" s="27"/>
      <c r="ID208" s="27"/>
      <c r="IE208" s="27"/>
      <c r="IF208" s="27"/>
      <c r="IG208" s="27"/>
      <c r="IH208" s="27"/>
      <c r="II208" s="27"/>
      <c r="IJ208" s="27"/>
      <c r="IK208" s="27"/>
      <c r="IL208" s="27"/>
      <c r="IM208" s="27"/>
      <c r="IN208" s="27"/>
      <c r="IO208" s="27"/>
      <c r="IP208" s="27"/>
      <c r="IQ208" s="27"/>
      <c r="IR208" s="27"/>
      <c r="IS208" s="27"/>
      <c r="IT208" s="27"/>
      <c r="IU208" s="27"/>
      <c r="IV208" s="27"/>
      <c r="IW208" s="27"/>
      <c r="IX208" s="27"/>
      <c r="IY208" s="27"/>
      <c r="IZ208" s="27"/>
      <c r="JA208" s="27"/>
      <c r="JB208" s="27"/>
      <c r="JC208" s="27"/>
      <c r="JD208" s="28"/>
    </row>
    <row r="209" spans="9:264" ht="7.5" customHeight="1" x14ac:dyDescent="0.25">
      <c r="I209" s="26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27"/>
      <c r="CH209" s="27"/>
      <c r="CI209" s="27"/>
      <c r="CJ209" s="28"/>
      <c r="CS209" s="26"/>
      <c r="CT209" s="27"/>
      <c r="CU209" s="27"/>
      <c r="CV209" s="27"/>
      <c r="CW209" s="27"/>
      <c r="CX209" s="27"/>
      <c r="CY209" s="27"/>
      <c r="CZ209" s="27"/>
      <c r="DA209" s="27"/>
      <c r="DB209" s="27"/>
      <c r="DC209" s="27"/>
      <c r="DD209" s="27"/>
      <c r="DE209" s="27"/>
      <c r="DF209" s="27"/>
      <c r="DG209" s="27"/>
      <c r="DH209" s="27"/>
      <c r="DI209" s="27"/>
      <c r="DJ209" s="27"/>
      <c r="DK209" s="27"/>
      <c r="DL209" s="27"/>
      <c r="DM209" s="27"/>
      <c r="DN209" s="27"/>
      <c r="DO209" s="27"/>
      <c r="DP209" s="27"/>
      <c r="DQ209" s="27"/>
      <c r="DR209" s="27"/>
      <c r="DS209" s="27"/>
      <c r="DT209" s="27"/>
      <c r="DU209" s="27"/>
      <c r="DV209" s="27"/>
      <c r="DW209" s="27"/>
      <c r="DX209" s="27"/>
      <c r="DY209" s="27"/>
      <c r="DZ209" s="27"/>
      <c r="EA209" s="27"/>
      <c r="EB209" s="27"/>
      <c r="EC209" s="27"/>
      <c r="ED209" s="27"/>
      <c r="EE209" s="27"/>
      <c r="EF209" s="27"/>
      <c r="EG209" s="27"/>
      <c r="EH209" s="27"/>
      <c r="EI209" s="27"/>
      <c r="EJ209" s="27"/>
      <c r="EK209" s="27"/>
      <c r="EL209" s="27"/>
      <c r="EM209" s="27"/>
      <c r="EN209" s="27"/>
      <c r="EO209" s="27"/>
      <c r="EP209" s="27"/>
      <c r="EQ209" s="27"/>
      <c r="ER209" s="27"/>
      <c r="ES209" s="27"/>
      <c r="ET209" s="27"/>
      <c r="EU209" s="27"/>
      <c r="EV209" s="27"/>
      <c r="EW209" s="27"/>
      <c r="EX209" s="27"/>
      <c r="EY209" s="27"/>
      <c r="EZ209" s="27"/>
      <c r="FA209" s="27"/>
      <c r="FB209" s="27"/>
      <c r="FC209" s="27"/>
      <c r="FD209" s="27"/>
      <c r="FE209" s="27"/>
      <c r="FF209" s="27"/>
      <c r="FG209" s="27"/>
      <c r="FH209" s="27"/>
      <c r="FI209" s="27"/>
      <c r="FJ209" s="27"/>
      <c r="FK209" s="27"/>
      <c r="FL209" s="27"/>
      <c r="FM209" s="27"/>
      <c r="FN209" s="27"/>
      <c r="FO209" s="27"/>
      <c r="FP209" s="27"/>
      <c r="FQ209" s="27"/>
      <c r="FR209" s="27"/>
      <c r="FS209" s="27"/>
      <c r="FT209" s="28"/>
      <c r="GC209" s="26"/>
      <c r="GD209" s="27"/>
      <c r="GE209" s="27"/>
      <c r="GF209" s="27"/>
      <c r="GG209" s="27"/>
      <c r="GH209" s="27"/>
      <c r="GI209" s="27"/>
      <c r="GJ209" s="27"/>
      <c r="GK209" s="27"/>
      <c r="GL209" s="27"/>
      <c r="GM209" s="27"/>
      <c r="GN209" s="27"/>
      <c r="GO209" s="27"/>
      <c r="GP209" s="27"/>
      <c r="GQ209" s="27"/>
      <c r="GR209" s="27"/>
      <c r="GS209" s="27"/>
      <c r="GT209" s="27"/>
      <c r="GU209" s="27"/>
      <c r="GV209" s="27"/>
      <c r="GW209" s="27"/>
      <c r="GX209" s="27"/>
      <c r="GY209" s="27"/>
      <c r="GZ209" s="27"/>
      <c r="HA209" s="27"/>
      <c r="HB209" s="27"/>
      <c r="HC209" s="27"/>
      <c r="HD209" s="27"/>
      <c r="HE209" s="27"/>
      <c r="HF209" s="27"/>
      <c r="HG209" s="27"/>
      <c r="HH209" s="27"/>
      <c r="HI209" s="27"/>
      <c r="HJ209" s="27"/>
      <c r="HK209" s="27"/>
      <c r="HL209" s="27"/>
      <c r="HM209" s="27"/>
      <c r="HN209" s="27"/>
      <c r="HO209" s="27"/>
      <c r="HP209" s="27"/>
      <c r="HQ209" s="27"/>
      <c r="HR209" s="27"/>
      <c r="HS209" s="27"/>
      <c r="HT209" s="27"/>
      <c r="HU209" s="27"/>
      <c r="HV209" s="27"/>
      <c r="HW209" s="27"/>
      <c r="HX209" s="27"/>
      <c r="HY209" s="27"/>
      <c r="HZ209" s="27"/>
      <c r="IA209" s="27"/>
      <c r="IB209" s="27"/>
      <c r="IC209" s="27"/>
      <c r="ID209" s="27"/>
      <c r="IE209" s="27"/>
      <c r="IF209" s="27"/>
      <c r="IG209" s="27"/>
      <c r="IH209" s="27"/>
      <c r="II209" s="27"/>
      <c r="IJ209" s="27"/>
      <c r="IK209" s="27"/>
      <c r="IL209" s="27"/>
      <c r="IM209" s="27"/>
      <c r="IN209" s="27"/>
      <c r="IO209" s="27"/>
      <c r="IP209" s="27"/>
      <c r="IQ209" s="27"/>
      <c r="IR209" s="27"/>
      <c r="IS209" s="27"/>
      <c r="IT209" s="27"/>
      <c r="IU209" s="27"/>
      <c r="IV209" s="27"/>
      <c r="IW209" s="27"/>
      <c r="IX209" s="27"/>
      <c r="IY209" s="27"/>
      <c r="IZ209" s="27"/>
      <c r="JA209" s="27"/>
      <c r="JB209" s="27"/>
      <c r="JC209" s="27"/>
      <c r="JD209" s="28"/>
    </row>
    <row r="210" spans="9:264" ht="7.5" customHeight="1" x14ac:dyDescent="0.25">
      <c r="I210" s="26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27"/>
      <c r="CH210" s="27"/>
      <c r="CI210" s="27"/>
      <c r="CJ210" s="28"/>
      <c r="CS210" s="26"/>
      <c r="CT210" s="27"/>
      <c r="CU210" s="27"/>
      <c r="CV210" s="27"/>
      <c r="CW210" s="27"/>
      <c r="CX210" s="27"/>
      <c r="CY210" s="27"/>
      <c r="CZ210" s="27"/>
      <c r="DA210" s="27"/>
      <c r="DB210" s="27"/>
      <c r="DC210" s="27"/>
      <c r="DD210" s="27"/>
      <c r="DE210" s="27"/>
      <c r="DF210" s="27"/>
      <c r="DG210" s="27"/>
      <c r="DH210" s="27"/>
      <c r="DI210" s="27"/>
      <c r="DJ210" s="27"/>
      <c r="DK210" s="27"/>
      <c r="DL210" s="27"/>
      <c r="DM210" s="27"/>
      <c r="DN210" s="27"/>
      <c r="DO210" s="27"/>
      <c r="DP210" s="27"/>
      <c r="DQ210" s="27"/>
      <c r="DR210" s="27"/>
      <c r="DS210" s="27"/>
      <c r="DT210" s="27"/>
      <c r="DU210" s="27"/>
      <c r="DV210" s="27"/>
      <c r="DW210" s="27"/>
      <c r="DX210" s="27"/>
      <c r="DY210" s="27"/>
      <c r="DZ210" s="27"/>
      <c r="EA210" s="27"/>
      <c r="EB210" s="27"/>
      <c r="EC210" s="27"/>
      <c r="ED210" s="27"/>
      <c r="EE210" s="27"/>
      <c r="EF210" s="27"/>
      <c r="EG210" s="27"/>
      <c r="EH210" s="27"/>
      <c r="EI210" s="27"/>
      <c r="EJ210" s="27"/>
      <c r="EK210" s="27"/>
      <c r="EL210" s="27"/>
      <c r="EM210" s="27"/>
      <c r="EN210" s="27"/>
      <c r="EO210" s="27"/>
      <c r="EP210" s="27"/>
      <c r="EQ210" s="27"/>
      <c r="ER210" s="27"/>
      <c r="ES210" s="27"/>
      <c r="ET210" s="27"/>
      <c r="EU210" s="27"/>
      <c r="EV210" s="27"/>
      <c r="EW210" s="27"/>
      <c r="EX210" s="27"/>
      <c r="EY210" s="27"/>
      <c r="EZ210" s="27"/>
      <c r="FA210" s="27"/>
      <c r="FB210" s="27"/>
      <c r="FC210" s="27"/>
      <c r="FD210" s="27"/>
      <c r="FE210" s="27"/>
      <c r="FF210" s="27"/>
      <c r="FG210" s="27"/>
      <c r="FH210" s="27"/>
      <c r="FI210" s="27"/>
      <c r="FJ210" s="27"/>
      <c r="FK210" s="27"/>
      <c r="FL210" s="27"/>
      <c r="FM210" s="27"/>
      <c r="FN210" s="27"/>
      <c r="FO210" s="27"/>
      <c r="FP210" s="27"/>
      <c r="FQ210" s="27"/>
      <c r="FR210" s="27"/>
      <c r="FS210" s="27"/>
      <c r="FT210" s="28"/>
      <c r="GC210" s="26"/>
      <c r="GD210" s="27"/>
      <c r="GE210" s="27"/>
      <c r="GF210" s="27"/>
      <c r="GG210" s="27"/>
      <c r="GH210" s="27"/>
      <c r="GI210" s="27"/>
      <c r="GJ210" s="27"/>
      <c r="GK210" s="27"/>
      <c r="GL210" s="27"/>
      <c r="GM210" s="27"/>
      <c r="GN210" s="27"/>
      <c r="GO210" s="27"/>
      <c r="GP210" s="27"/>
      <c r="GQ210" s="27"/>
      <c r="GR210" s="27"/>
      <c r="GS210" s="27"/>
      <c r="GT210" s="27"/>
      <c r="GU210" s="27"/>
      <c r="GV210" s="27"/>
      <c r="GW210" s="27"/>
      <c r="GX210" s="27"/>
      <c r="GY210" s="27"/>
      <c r="GZ210" s="27"/>
      <c r="HA210" s="27"/>
      <c r="HB210" s="27"/>
      <c r="HC210" s="27"/>
      <c r="HD210" s="27"/>
      <c r="HE210" s="27"/>
      <c r="HF210" s="27"/>
      <c r="HG210" s="27"/>
      <c r="HH210" s="27"/>
      <c r="HI210" s="27"/>
      <c r="HJ210" s="27"/>
      <c r="HK210" s="27"/>
      <c r="HL210" s="27"/>
      <c r="HM210" s="27"/>
      <c r="HN210" s="27"/>
      <c r="HO210" s="27"/>
      <c r="HP210" s="27"/>
      <c r="HQ210" s="27"/>
      <c r="HR210" s="27"/>
      <c r="HS210" s="27"/>
      <c r="HT210" s="27"/>
      <c r="HU210" s="27"/>
      <c r="HV210" s="27"/>
      <c r="HW210" s="27"/>
      <c r="HX210" s="27"/>
      <c r="HY210" s="27"/>
      <c r="HZ210" s="27"/>
      <c r="IA210" s="27"/>
      <c r="IB210" s="27"/>
      <c r="IC210" s="27"/>
      <c r="ID210" s="27"/>
      <c r="IE210" s="27"/>
      <c r="IF210" s="27"/>
      <c r="IG210" s="27"/>
      <c r="IH210" s="27"/>
      <c r="II210" s="27"/>
      <c r="IJ210" s="27"/>
      <c r="IK210" s="27"/>
      <c r="IL210" s="27"/>
      <c r="IM210" s="27"/>
      <c r="IN210" s="27"/>
      <c r="IO210" s="27"/>
      <c r="IP210" s="27"/>
      <c r="IQ210" s="27"/>
      <c r="IR210" s="27"/>
      <c r="IS210" s="27"/>
      <c r="IT210" s="27"/>
      <c r="IU210" s="27"/>
      <c r="IV210" s="27"/>
      <c r="IW210" s="27"/>
      <c r="IX210" s="27"/>
      <c r="IY210" s="27"/>
      <c r="IZ210" s="27"/>
      <c r="JA210" s="27"/>
      <c r="JB210" s="27"/>
      <c r="JC210" s="27"/>
      <c r="JD210" s="28"/>
    </row>
    <row r="211" spans="9:264" ht="7.5" customHeight="1" x14ac:dyDescent="0.25">
      <c r="I211" s="26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27"/>
      <c r="CH211" s="27"/>
      <c r="CI211" s="27"/>
      <c r="CJ211" s="28"/>
      <c r="CS211" s="26"/>
      <c r="CT211" s="27"/>
      <c r="CU211" s="27"/>
      <c r="CV211" s="27"/>
      <c r="CW211" s="27"/>
      <c r="CX211" s="27"/>
      <c r="CY211" s="27"/>
      <c r="CZ211" s="27"/>
      <c r="DA211" s="27"/>
      <c r="DB211" s="27"/>
      <c r="DC211" s="27"/>
      <c r="DD211" s="27"/>
      <c r="DE211" s="27"/>
      <c r="DF211" s="27"/>
      <c r="DG211" s="27"/>
      <c r="DH211" s="27"/>
      <c r="DI211" s="27"/>
      <c r="DJ211" s="27"/>
      <c r="DK211" s="27"/>
      <c r="DL211" s="27"/>
      <c r="DM211" s="27"/>
      <c r="DN211" s="27"/>
      <c r="DO211" s="27"/>
      <c r="DP211" s="27"/>
      <c r="DQ211" s="27"/>
      <c r="DR211" s="27"/>
      <c r="DS211" s="27"/>
      <c r="DT211" s="27"/>
      <c r="DU211" s="27"/>
      <c r="DV211" s="27"/>
      <c r="DW211" s="27"/>
      <c r="DX211" s="27"/>
      <c r="DY211" s="27"/>
      <c r="DZ211" s="27"/>
      <c r="EA211" s="27"/>
      <c r="EB211" s="27"/>
      <c r="EC211" s="27"/>
      <c r="ED211" s="27"/>
      <c r="EE211" s="27"/>
      <c r="EF211" s="27"/>
      <c r="EG211" s="27"/>
      <c r="EH211" s="27"/>
      <c r="EI211" s="27"/>
      <c r="EJ211" s="27"/>
      <c r="EK211" s="27"/>
      <c r="EL211" s="27"/>
      <c r="EM211" s="27"/>
      <c r="EN211" s="27"/>
      <c r="EO211" s="27"/>
      <c r="EP211" s="27"/>
      <c r="EQ211" s="27"/>
      <c r="ER211" s="27"/>
      <c r="ES211" s="27"/>
      <c r="ET211" s="27"/>
      <c r="EU211" s="27"/>
      <c r="EV211" s="27"/>
      <c r="EW211" s="27"/>
      <c r="EX211" s="27"/>
      <c r="EY211" s="27"/>
      <c r="EZ211" s="27"/>
      <c r="FA211" s="27"/>
      <c r="FB211" s="27"/>
      <c r="FC211" s="27"/>
      <c r="FD211" s="27"/>
      <c r="FE211" s="27"/>
      <c r="FF211" s="27"/>
      <c r="FG211" s="27"/>
      <c r="FH211" s="27"/>
      <c r="FI211" s="27"/>
      <c r="FJ211" s="27"/>
      <c r="FK211" s="27"/>
      <c r="FL211" s="27"/>
      <c r="FM211" s="27"/>
      <c r="FN211" s="27"/>
      <c r="FO211" s="27"/>
      <c r="FP211" s="27"/>
      <c r="FQ211" s="27"/>
      <c r="FR211" s="27"/>
      <c r="FS211" s="27"/>
      <c r="FT211" s="28"/>
      <c r="GC211" s="26"/>
      <c r="GD211" s="27"/>
      <c r="GE211" s="27"/>
      <c r="GF211" s="27"/>
      <c r="GG211" s="27"/>
      <c r="GH211" s="27"/>
      <c r="GI211" s="27"/>
      <c r="GJ211" s="27"/>
      <c r="GK211" s="27"/>
      <c r="GL211" s="27"/>
      <c r="GM211" s="27"/>
      <c r="GN211" s="27"/>
      <c r="GO211" s="27"/>
      <c r="GP211" s="27"/>
      <c r="GQ211" s="27"/>
      <c r="GR211" s="27"/>
      <c r="GS211" s="27"/>
      <c r="GT211" s="27"/>
      <c r="GU211" s="27"/>
      <c r="GV211" s="27"/>
      <c r="GW211" s="27"/>
      <c r="GX211" s="27"/>
      <c r="GY211" s="27"/>
      <c r="GZ211" s="27"/>
      <c r="HA211" s="27"/>
      <c r="HB211" s="27"/>
      <c r="HC211" s="27"/>
      <c r="HD211" s="27"/>
      <c r="HE211" s="27"/>
      <c r="HF211" s="27"/>
      <c r="HG211" s="27"/>
      <c r="HH211" s="27"/>
      <c r="HI211" s="27"/>
      <c r="HJ211" s="27"/>
      <c r="HK211" s="27"/>
      <c r="HL211" s="27"/>
      <c r="HM211" s="27"/>
      <c r="HN211" s="27"/>
      <c r="HO211" s="27"/>
      <c r="HP211" s="27"/>
      <c r="HQ211" s="27"/>
      <c r="HR211" s="27"/>
      <c r="HS211" s="27"/>
      <c r="HT211" s="27"/>
      <c r="HU211" s="27"/>
      <c r="HV211" s="27"/>
      <c r="HW211" s="27"/>
      <c r="HX211" s="27"/>
      <c r="HY211" s="27"/>
      <c r="HZ211" s="27"/>
      <c r="IA211" s="27"/>
      <c r="IB211" s="27"/>
      <c r="IC211" s="27"/>
      <c r="ID211" s="27"/>
      <c r="IE211" s="27"/>
      <c r="IF211" s="27"/>
      <c r="IG211" s="27"/>
      <c r="IH211" s="27"/>
      <c r="II211" s="27"/>
      <c r="IJ211" s="27"/>
      <c r="IK211" s="27"/>
      <c r="IL211" s="27"/>
      <c r="IM211" s="27"/>
      <c r="IN211" s="27"/>
      <c r="IO211" s="27"/>
      <c r="IP211" s="27"/>
      <c r="IQ211" s="27"/>
      <c r="IR211" s="27"/>
      <c r="IS211" s="27"/>
      <c r="IT211" s="27"/>
      <c r="IU211" s="27"/>
      <c r="IV211" s="27"/>
      <c r="IW211" s="27"/>
      <c r="IX211" s="27"/>
      <c r="IY211" s="27"/>
      <c r="IZ211" s="27"/>
      <c r="JA211" s="27"/>
      <c r="JB211" s="27"/>
      <c r="JC211" s="27"/>
      <c r="JD211" s="28"/>
    </row>
    <row r="212" spans="9:264" ht="7.5" customHeight="1" x14ac:dyDescent="0.25">
      <c r="I212" s="29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  <c r="AP212" s="30"/>
      <c r="AQ212" s="30"/>
      <c r="AR212" s="30"/>
      <c r="AS212" s="30"/>
      <c r="AT212" s="30"/>
      <c r="AU212" s="30"/>
      <c r="AV212" s="30"/>
      <c r="AW212" s="30"/>
      <c r="AX212" s="30"/>
      <c r="AY212" s="30"/>
      <c r="AZ212" s="30"/>
      <c r="BA212" s="30"/>
      <c r="BB212" s="30"/>
      <c r="BC212" s="30"/>
      <c r="BD212" s="30"/>
      <c r="BE212" s="30"/>
      <c r="BF212" s="30"/>
      <c r="BG212" s="30"/>
      <c r="BH212" s="30"/>
      <c r="BI212" s="30"/>
      <c r="BJ212" s="30"/>
      <c r="BK212" s="30"/>
      <c r="BL212" s="30"/>
      <c r="BM212" s="30"/>
      <c r="BN212" s="30"/>
      <c r="BO212" s="30"/>
      <c r="BP212" s="3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30"/>
      <c r="CJ212" s="31"/>
      <c r="CS212" s="29"/>
      <c r="CT212" s="30"/>
      <c r="CU212" s="30"/>
      <c r="CV212" s="30"/>
      <c r="CW212" s="30"/>
      <c r="CX212" s="30"/>
      <c r="CY212" s="30"/>
      <c r="CZ212" s="30"/>
      <c r="DA212" s="30"/>
      <c r="DB212" s="30"/>
      <c r="DC212" s="30"/>
      <c r="DD212" s="30"/>
      <c r="DE212" s="30"/>
      <c r="DF212" s="30"/>
      <c r="DG212" s="30"/>
      <c r="DH212" s="30"/>
      <c r="DI212" s="30"/>
      <c r="DJ212" s="30"/>
      <c r="DK212" s="30"/>
      <c r="DL212" s="30"/>
      <c r="DM212" s="30"/>
      <c r="DN212" s="30"/>
      <c r="DO212" s="30"/>
      <c r="DP212" s="30"/>
      <c r="DQ212" s="30"/>
      <c r="DR212" s="30"/>
      <c r="DS212" s="30"/>
      <c r="DT212" s="30"/>
      <c r="DU212" s="30"/>
      <c r="DV212" s="30"/>
      <c r="DW212" s="30"/>
      <c r="DX212" s="30"/>
      <c r="DY212" s="30"/>
      <c r="DZ212" s="30"/>
      <c r="EA212" s="30"/>
      <c r="EB212" s="30"/>
      <c r="EC212" s="30"/>
      <c r="ED212" s="30"/>
      <c r="EE212" s="30"/>
      <c r="EF212" s="30"/>
      <c r="EG212" s="30"/>
      <c r="EH212" s="30"/>
      <c r="EI212" s="30"/>
      <c r="EJ212" s="30"/>
      <c r="EK212" s="30"/>
      <c r="EL212" s="30"/>
      <c r="EM212" s="30"/>
      <c r="EN212" s="30"/>
      <c r="EO212" s="30"/>
      <c r="EP212" s="30"/>
      <c r="EQ212" s="30"/>
      <c r="ER212" s="30"/>
      <c r="ES212" s="30"/>
      <c r="ET212" s="30"/>
      <c r="EU212" s="30"/>
      <c r="EV212" s="30"/>
      <c r="EW212" s="30"/>
      <c r="EX212" s="30"/>
      <c r="EY212" s="30"/>
      <c r="EZ212" s="30"/>
      <c r="FA212" s="30"/>
      <c r="FB212" s="30"/>
      <c r="FC212" s="30"/>
      <c r="FD212" s="30"/>
      <c r="FE212" s="30"/>
      <c r="FF212" s="30"/>
      <c r="FG212" s="30"/>
      <c r="FH212" s="30"/>
      <c r="FI212" s="30"/>
      <c r="FJ212" s="30"/>
      <c r="FK212" s="30"/>
      <c r="FL212" s="30"/>
      <c r="FM212" s="30"/>
      <c r="FN212" s="30"/>
      <c r="FO212" s="30"/>
      <c r="FP212" s="30"/>
      <c r="FQ212" s="30"/>
      <c r="FR212" s="30"/>
      <c r="FS212" s="30"/>
      <c r="FT212" s="31"/>
      <c r="GC212" s="29"/>
      <c r="GD212" s="30"/>
      <c r="GE212" s="30"/>
      <c r="GF212" s="30"/>
      <c r="GG212" s="30"/>
      <c r="GH212" s="30"/>
      <c r="GI212" s="30"/>
      <c r="GJ212" s="30"/>
      <c r="GK212" s="30"/>
      <c r="GL212" s="30"/>
      <c r="GM212" s="30"/>
      <c r="GN212" s="30"/>
      <c r="GO212" s="30"/>
      <c r="GP212" s="30"/>
      <c r="GQ212" s="30"/>
      <c r="GR212" s="30"/>
      <c r="GS212" s="30"/>
      <c r="GT212" s="30"/>
      <c r="GU212" s="30"/>
      <c r="GV212" s="30"/>
      <c r="GW212" s="30"/>
      <c r="GX212" s="30"/>
      <c r="GY212" s="30"/>
      <c r="GZ212" s="30"/>
      <c r="HA212" s="30"/>
      <c r="HB212" s="30"/>
      <c r="HC212" s="30"/>
      <c r="HD212" s="30"/>
      <c r="HE212" s="30"/>
      <c r="HF212" s="30"/>
      <c r="HG212" s="30"/>
      <c r="HH212" s="30"/>
      <c r="HI212" s="30"/>
      <c r="HJ212" s="30"/>
      <c r="HK212" s="30"/>
      <c r="HL212" s="30"/>
      <c r="HM212" s="30"/>
      <c r="HN212" s="30"/>
      <c r="HO212" s="30"/>
      <c r="HP212" s="30"/>
      <c r="HQ212" s="30"/>
      <c r="HR212" s="30"/>
      <c r="HS212" s="30"/>
      <c r="HT212" s="30"/>
      <c r="HU212" s="30"/>
      <c r="HV212" s="30"/>
      <c r="HW212" s="30"/>
      <c r="HX212" s="30"/>
      <c r="HY212" s="30"/>
      <c r="HZ212" s="30"/>
      <c r="IA212" s="30"/>
      <c r="IB212" s="30"/>
      <c r="IC212" s="30"/>
      <c r="ID212" s="30"/>
      <c r="IE212" s="30"/>
      <c r="IF212" s="30"/>
      <c r="IG212" s="30"/>
      <c r="IH212" s="30"/>
      <c r="II212" s="30"/>
      <c r="IJ212" s="30"/>
      <c r="IK212" s="30"/>
      <c r="IL212" s="30"/>
      <c r="IM212" s="30"/>
      <c r="IN212" s="30"/>
      <c r="IO212" s="30"/>
      <c r="IP212" s="30"/>
      <c r="IQ212" s="30"/>
      <c r="IR212" s="30"/>
      <c r="IS212" s="30"/>
      <c r="IT212" s="30"/>
      <c r="IU212" s="30"/>
      <c r="IV212" s="30"/>
      <c r="IW212" s="30"/>
      <c r="IX212" s="30"/>
      <c r="IY212" s="30"/>
      <c r="IZ212" s="30"/>
      <c r="JA212" s="30"/>
      <c r="JB212" s="30"/>
      <c r="JC212" s="30"/>
      <c r="JD212" s="3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I2:CJ96"/>
  <sheetViews>
    <sheetView topLeftCell="A4" zoomScaleNormal="100" workbookViewId="0">
      <selection activeCell="BL59" sqref="BL59"/>
    </sheetView>
  </sheetViews>
  <sheetFormatPr defaultColWidth="1.42578125" defaultRowHeight="7.5" customHeight="1" x14ac:dyDescent="0.25"/>
  <sheetData>
    <row r="2" spans="9:88" ht="7.5" customHeight="1" x14ac:dyDescent="0.25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7" spans="9:88" ht="7.5" customHeight="1" x14ac:dyDescent="0.25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9:88" ht="7.5" customHeight="1" x14ac:dyDescent="0.25"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</row>
    <row r="9" spans="9:88" ht="7.5" customHeight="1" x14ac:dyDescent="0.25">
      <c r="I9" s="14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6"/>
    </row>
    <row r="10" spans="9:88" ht="7.5" customHeight="1" x14ac:dyDescent="0.25">
      <c r="I10" s="17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9"/>
    </row>
    <row r="11" spans="9:88" ht="7.5" customHeight="1" x14ac:dyDescent="0.25">
      <c r="I11" s="17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9"/>
    </row>
    <row r="12" spans="9:88" ht="7.5" customHeight="1" x14ac:dyDescent="0.25">
      <c r="I12" s="17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9"/>
    </row>
    <row r="13" spans="9:88" ht="7.5" customHeight="1" x14ac:dyDescent="0.25">
      <c r="I13" s="17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9"/>
    </row>
    <row r="14" spans="9:88" ht="7.5" customHeight="1" x14ac:dyDescent="0.25">
      <c r="I14" s="17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9"/>
    </row>
    <row r="15" spans="9:88" ht="7.5" customHeight="1" x14ac:dyDescent="0.25">
      <c r="I15" s="17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9"/>
    </row>
    <row r="16" spans="9:88" ht="7.5" customHeight="1" x14ac:dyDescent="0.25">
      <c r="I16" s="17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9"/>
    </row>
    <row r="17" spans="9:88" ht="7.5" customHeight="1" x14ac:dyDescent="0.25">
      <c r="I17" s="17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9"/>
    </row>
    <row r="18" spans="9:88" ht="7.5" customHeight="1" x14ac:dyDescent="0.25">
      <c r="I18" s="17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9"/>
    </row>
    <row r="19" spans="9:88" ht="7.5" customHeight="1" x14ac:dyDescent="0.25">
      <c r="I19" s="17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9"/>
    </row>
    <row r="20" spans="9:88" ht="7.5" customHeight="1" x14ac:dyDescent="0.25">
      <c r="I20" s="17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9"/>
    </row>
    <row r="21" spans="9:88" ht="7.5" customHeight="1" x14ac:dyDescent="0.25">
      <c r="I21" s="17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9"/>
    </row>
    <row r="22" spans="9:88" ht="7.5" customHeight="1" x14ac:dyDescent="0.25">
      <c r="I22" s="17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9"/>
    </row>
    <row r="23" spans="9:88" ht="7.5" customHeight="1" x14ac:dyDescent="0.25">
      <c r="I23" s="17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9"/>
    </row>
    <row r="24" spans="9:88" ht="7.5" customHeight="1" x14ac:dyDescent="0.25">
      <c r="I24" s="17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9"/>
    </row>
    <row r="25" spans="9:88" ht="7.5" customHeight="1" x14ac:dyDescent="0.25">
      <c r="I25" s="17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9"/>
    </row>
    <row r="26" spans="9:88" ht="7.5" customHeight="1" x14ac:dyDescent="0.25">
      <c r="I26" s="17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9"/>
    </row>
    <row r="27" spans="9:88" ht="7.5" customHeight="1" x14ac:dyDescent="0.25">
      <c r="I27" s="17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9"/>
    </row>
    <row r="28" spans="9:88" ht="7.5" customHeight="1" x14ac:dyDescent="0.25">
      <c r="I28" s="17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9"/>
    </row>
    <row r="29" spans="9:88" ht="7.5" customHeight="1" x14ac:dyDescent="0.25">
      <c r="I29" s="17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9"/>
    </row>
    <row r="30" spans="9:88" ht="7.5" customHeight="1" x14ac:dyDescent="0.25">
      <c r="I30" s="17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9"/>
    </row>
    <row r="31" spans="9:88" ht="7.5" customHeight="1" x14ac:dyDescent="0.25">
      <c r="I31" s="17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9"/>
    </row>
    <row r="32" spans="9:88" ht="7.5" customHeight="1" x14ac:dyDescent="0.25">
      <c r="I32" s="17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9"/>
    </row>
    <row r="33" spans="9:88" ht="7.5" customHeight="1" x14ac:dyDescent="0.25">
      <c r="I33" s="17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9"/>
    </row>
    <row r="34" spans="9:88" ht="7.5" customHeight="1" x14ac:dyDescent="0.25">
      <c r="I34" s="17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9"/>
    </row>
    <row r="35" spans="9:88" ht="7.5" customHeight="1" x14ac:dyDescent="0.25">
      <c r="I35" s="17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9"/>
    </row>
    <row r="36" spans="9:88" ht="7.5" customHeight="1" x14ac:dyDescent="0.25">
      <c r="I36" s="17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9"/>
    </row>
    <row r="37" spans="9:88" ht="7.5" customHeight="1" x14ac:dyDescent="0.25">
      <c r="I37" s="17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9"/>
    </row>
    <row r="38" spans="9:88" ht="7.5" customHeight="1" x14ac:dyDescent="0.25">
      <c r="I38" s="17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9"/>
    </row>
    <row r="39" spans="9:88" ht="7.5" customHeight="1" x14ac:dyDescent="0.25">
      <c r="I39" s="17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9"/>
    </row>
    <row r="40" spans="9:88" ht="7.5" customHeight="1" x14ac:dyDescent="0.25">
      <c r="I40" s="17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9"/>
    </row>
    <row r="41" spans="9:88" ht="7.5" customHeight="1" x14ac:dyDescent="0.25">
      <c r="I41" s="17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9"/>
    </row>
    <row r="42" spans="9:88" ht="7.5" customHeight="1" x14ac:dyDescent="0.25">
      <c r="I42" s="17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9"/>
    </row>
    <row r="43" spans="9:88" ht="7.5" customHeight="1" x14ac:dyDescent="0.25"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9"/>
    </row>
    <row r="44" spans="9:88" ht="7.5" customHeight="1" x14ac:dyDescent="0.25">
      <c r="I44" s="17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9"/>
    </row>
    <row r="45" spans="9:88" ht="7.5" customHeight="1" x14ac:dyDescent="0.25">
      <c r="I45" s="17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9"/>
    </row>
    <row r="46" spans="9:88" ht="7.5" customHeight="1" x14ac:dyDescent="0.25">
      <c r="I46" s="17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9"/>
    </row>
    <row r="47" spans="9:88" ht="7.5" customHeight="1" x14ac:dyDescent="0.25">
      <c r="I47" s="17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9"/>
    </row>
    <row r="48" spans="9:88" ht="7.5" customHeight="1" x14ac:dyDescent="0.25">
      <c r="I48" s="17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9"/>
    </row>
    <row r="49" spans="9:88" ht="7.5" customHeight="1" x14ac:dyDescent="0.25">
      <c r="I49" s="17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9"/>
    </row>
    <row r="50" spans="9:88" ht="7.5" customHeight="1" x14ac:dyDescent="0.25">
      <c r="I50" s="17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9"/>
    </row>
    <row r="51" spans="9:88" ht="7.5" customHeight="1" x14ac:dyDescent="0.25">
      <c r="I51" s="17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9"/>
    </row>
    <row r="52" spans="9:88" ht="7.5" customHeight="1" x14ac:dyDescent="0.25">
      <c r="I52" s="17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9"/>
    </row>
    <row r="53" spans="9:88" ht="7.5" customHeight="1" x14ac:dyDescent="0.25">
      <c r="I53" s="20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2"/>
    </row>
    <row r="54" spans="9:88" ht="7.5" customHeight="1" x14ac:dyDescent="0.25"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</row>
    <row r="55" spans="9:88" ht="7.5" customHeight="1" x14ac:dyDescent="0.25">
      <c r="I55" s="1"/>
      <c r="J55" s="1"/>
      <c r="K55" s="1"/>
      <c r="L55" s="1"/>
      <c r="M55" s="1"/>
      <c r="N55" s="1"/>
      <c r="O55" s="1"/>
      <c r="P55" s="1"/>
      <c r="Q55" s="10" t="s">
        <v>0</v>
      </c>
      <c r="R55" s="10"/>
      <c r="S55" s="10"/>
      <c r="T55" s="10"/>
      <c r="U55" s="10"/>
      <c r="V55" s="10"/>
      <c r="W55" s="10"/>
      <c r="X55" s="10"/>
      <c r="Y55" s="10"/>
      <c r="Z55" s="10"/>
      <c r="AA55" s="10">
        <v>30</v>
      </c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</row>
    <row r="56" spans="9:88" ht="7.5" customHeight="1" x14ac:dyDescent="0.25">
      <c r="I56" s="1"/>
      <c r="J56" s="1"/>
      <c r="K56" s="1"/>
      <c r="L56" s="1"/>
      <c r="M56" s="1"/>
      <c r="N56" s="1"/>
      <c r="O56" s="1"/>
      <c r="P56" s="1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</row>
    <row r="57" spans="9:88" ht="7.5" customHeight="1" x14ac:dyDescent="0.25">
      <c r="I57" s="1"/>
      <c r="J57" s="1"/>
      <c r="K57" s="1"/>
      <c r="L57" s="1"/>
      <c r="M57" s="1"/>
      <c r="N57" s="1"/>
      <c r="O57" s="1"/>
      <c r="P57" s="1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</row>
    <row r="58" spans="9:88" ht="7.5" customHeight="1" x14ac:dyDescent="0.25">
      <c r="I58" s="1"/>
      <c r="J58" s="1"/>
      <c r="K58" s="1"/>
      <c r="L58" s="1"/>
      <c r="M58" s="1"/>
      <c r="N58" s="1"/>
      <c r="O58" s="1"/>
      <c r="P58" s="1"/>
      <c r="Q58" s="10" t="s">
        <v>1</v>
      </c>
      <c r="R58" s="10"/>
      <c r="S58" s="10"/>
      <c r="T58" s="10"/>
      <c r="U58" s="10"/>
      <c r="V58" s="10"/>
      <c r="W58" s="10"/>
      <c r="X58" s="10"/>
      <c r="Y58" s="10"/>
      <c r="Z58" s="10"/>
      <c r="AA58" s="11">
        <f>(3^0.5)*AA55</f>
        <v>51.961524227066313</v>
      </c>
      <c r="AB58" s="11"/>
      <c r="AC58" s="11"/>
      <c r="AD58" s="11"/>
      <c r="AE58" s="11"/>
      <c r="AF58" s="11"/>
      <c r="AG58" s="11"/>
      <c r="AH58" s="11"/>
      <c r="AI58" s="11"/>
      <c r="AJ58" s="11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</row>
    <row r="59" spans="9:88" ht="7.5" customHeight="1" x14ac:dyDescent="0.25"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</row>
    <row r="60" spans="9:88" ht="7.5" customHeight="1" x14ac:dyDescent="0.25"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</row>
    <row r="61" spans="9:88" ht="7.5" customHeight="1" x14ac:dyDescent="0.25">
      <c r="Q61" s="10" t="s">
        <v>4</v>
      </c>
      <c r="R61" s="10"/>
      <c r="S61" s="10"/>
      <c r="T61" s="10"/>
      <c r="U61" s="10"/>
      <c r="V61" s="10"/>
      <c r="W61" s="10"/>
      <c r="X61" s="10"/>
      <c r="Y61" s="10"/>
      <c r="Z61" s="10"/>
      <c r="AA61" s="11">
        <f>AA58/2</f>
        <v>25.980762113533157</v>
      </c>
      <c r="AB61" s="11"/>
      <c r="AC61" s="11"/>
      <c r="AD61" s="11"/>
      <c r="AE61" s="11"/>
      <c r="AF61" s="11"/>
      <c r="AG61" s="11"/>
      <c r="AH61" s="11"/>
      <c r="AI61" s="11"/>
      <c r="AJ61" s="11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</row>
    <row r="62" spans="9:88" ht="7.5" customHeight="1" x14ac:dyDescent="0.25"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</row>
    <row r="63" spans="9:88" ht="7.5" customHeight="1" x14ac:dyDescent="0.25"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</row>
    <row r="64" spans="9:88" ht="7.5" customHeight="1" x14ac:dyDescent="0.25"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 t="s">
        <v>2</v>
      </c>
      <c r="AL64" s="10"/>
      <c r="AM64" s="10"/>
      <c r="AN64" s="10"/>
      <c r="AO64" s="10"/>
      <c r="AP64" s="10"/>
      <c r="AQ64" s="10"/>
      <c r="AR64" s="10"/>
      <c r="AS64" s="10"/>
      <c r="AT64" s="10"/>
      <c r="AU64" s="10" t="s">
        <v>3</v>
      </c>
      <c r="AV64" s="10"/>
      <c r="AW64" s="10"/>
      <c r="AX64" s="10"/>
      <c r="AY64" s="10"/>
      <c r="AZ64" s="10"/>
      <c r="BA64" s="10"/>
      <c r="BB64" s="10"/>
      <c r="BC64" s="10"/>
      <c r="BD64" s="10"/>
    </row>
    <row r="65" spans="17:56" ht="7.5" customHeight="1" x14ac:dyDescent="0.25"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</row>
    <row r="66" spans="17:56" ht="7.5" customHeight="1" x14ac:dyDescent="0.25"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</row>
    <row r="67" spans="17:56" ht="7.5" customHeight="1" x14ac:dyDescent="0.25"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>
        <v>7</v>
      </c>
      <c r="AB67" s="10"/>
      <c r="AC67" s="10"/>
      <c r="AD67" s="10"/>
      <c r="AE67" s="10"/>
      <c r="AF67" s="10"/>
      <c r="AG67" s="10"/>
      <c r="AH67" s="10"/>
      <c r="AI67" s="10"/>
      <c r="AJ67" s="10"/>
      <c r="AK67" s="10">
        <f>400-3*AA58</f>
        <v>244.11542731880107</v>
      </c>
      <c r="AL67" s="10"/>
      <c r="AM67" s="10"/>
      <c r="AN67" s="10"/>
      <c r="AO67" s="10"/>
      <c r="AP67" s="10"/>
      <c r="AQ67" s="10"/>
      <c r="AR67" s="10"/>
      <c r="AS67" s="10"/>
      <c r="AT67" s="10"/>
      <c r="AU67" s="10">
        <f>225-4*(AA55*1.5)</f>
        <v>45</v>
      </c>
      <c r="AV67" s="10"/>
      <c r="AW67" s="10"/>
      <c r="AX67" s="10"/>
      <c r="AY67" s="10"/>
      <c r="AZ67" s="10"/>
      <c r="BA67" s="10"/>
      <c r="BB67" s="10"/>
      <c r="BC67" s="10"/>
      <c r="BD67" s="10"/>
    </row>
    <row r="68" spans="17:56" ht="7.5" customHeight="1" x14ac:dyDescent="0.25"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</row>
    <row r="69" spans="17:56" ht="7.5" customHeight="1" x14ac:dyDescent="0.25"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</row>
    <row r="70" spans="17:56" ht="7.5" customHeight="1" x14ac:dyDescent="0.25"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>
        <v>8</v>
      </c>
      <c r="AB70" s="10"/>
      <c r="AC70" s="10"/>
      <c r="AD70" s="10"/>
      <c r="AE70" s="10"/>
      <c r="AF70" s="10"/>
      <c r="AG70" s="10"/>
      <c r="AH70" s="10"/>
      <c r="AI70" s="10"/>
      <c r="AJ70" s="10"/>
      <c r="AK70" s="11">
        <f>AK67-$AA$61</f>
        <v>218.13466520526791</v>
      </c>
      <c r="AL70" s="10"/>
      <c r="AM70" s="10"/>
      <c r="AN70" s="10"/>
      <c r="AO70" s="10"/>
      <c r="AP70" s="10"/>
      <c r="AQ70" s="10"/>
      <c r="AR70" s="10"/>
      <c r="AS70" s="10"/>
      <c r="AT70" s="10"/>
      <c r="AU70" s="10">
        <f>AU67+$AA$55*1.5</f>
        <v>90</v>
      </c>
      <c r="AV70" s="10"/>
      <c r="AW70" s="10"/>
      <c r="AX70" s="10"/>
      <c r="AY70" s="10"/>
      <c r="AZ70" s="10"/>
      <c r="BA70" s="10"/>
      <c r="BB70" s="10"/>
      <c r="BC70" s="10"/>
      <c r="BD70" s="10"/>
    </row>
    <row r="71" spans="17:56" ht="7.5" customHeight="1" x14ac:dyDescent="0.25"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</row>
    <row r="72" spans="17:56" ht="7.5" customHeight="1" x14ac:dyDescent="0.25"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</row>
    <row r="73" spans="17:56" ht="7.5" customHeight="1" x14ac:dyDescent="0.25"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>
        <v>9</v>
      </c>
      <c r="AB73" s="10"/>
      <c r="AC73" s="10"/>
      <c r="AD73" s="10"/>
      <c r="AE73" s="10"/>
      <c r="AF73" s="10"/>
      <c r="AG73" s="10"/>
      <c r="AH73" s="10"/>
      <c r="AI73" s="10"/>
      <c r="AJ73" s="10"/>
      <c r="AK73" s="11">
        <f>AK70-$AA$61</f>
        <v>192.15390309173475</v>
      </c>
      <c r="AL73" s="10"/>
      <c r="AM73" s="10"/>
      <c r="AN73" s="10"/>
      <c r="AO73" s="10"/>
      <c r="AP73" s="10"/>
      <c r="AQ73" s="10"/>
      <c r="AR73" s="10"/>
      <c r="AS73" s="10"/>
      <c r="AT73" s="10"/>
      <c r="AU73" s="10">
        <f t="shared" ref="AU73" si="0">AU70+$AA$55*1.5</f>
        <v>135</v>
      </c>
      <c r="AV73" s="10"/>
      <c r="AW73" s="10"/>
      <c r="AX73" s="10"/>
      <c r="AY73" s="10"/>
      <c r="AZ73" s="10"/>
      <c r="BA73" s="10"/>
      <c r="BB73" s="10"/>
      <c r="BC73" s="10"/>
      <c r="BD73" s="10"/>
    </row>
    <row r="74" spans="17:56" ht="7.5" customHeight="1" x14ac:dyDescent="0.25"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</row>
    <row r="75" spans="17:56" ht="7.5" customHeight="1" x14ac:dyDescent="0.25"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</row>
    <row r="76" spans="17:56" ht="7.5" customHeight="1" x14ac:dyDescent="0.25"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>
        <v>10</v>
      </c>
      <c r="AB76" s="10"/>
      <c r="AC76" s="10"/>
      <c r="AD76" s="10"/>
      <c r="AE76" s="10"/>
      <c r="AF76" s="10"/>
      <c r="AG76" s="10"/>
      <c r="AH76" s="10"/>
      <c r="AI76" s="10"/>
      <c r="AJ76" s="10"/>
      <c r="AK76" s="11">
        <f>AK73-$AA$61</f>
        <v>166.17314097820159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10">
        <f t="shared" ref="AU76" si="1">AU73+$AA$55*1.5</f>
        <v>180</v>
      </c>
      <c r="AV76" s="10"/>
      <c r="AW76" s="10"/>
      <c r="AX76" s="10"/>
      <c r="AY76" s="10"/>
      <c r="AZ76" s="10"/>
      <c r="BA76" s="10"/>
      <c r="BB76" s="10"/>
      <c r="BC76" s="10"/>
      <c r="BD76" s="10"/>
    </row>
    <row r="77" spans="17:56" ht="7.5" customHeight="1" x14ac:dyDescent="0.25"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</row>
    <row r="78" spans="17:56" ht="7.5" customHeight="1" x14ac:dyDescent="0.25"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</row>
    <row r="79" spans="17:56" ht="7.5" customHeight="1" x14ac:dyDescent="0.25"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>
        <v>11</v>
      </c>
      <c r="AB79" s="12"/>
      <c r="AC79" s="12"/>
      <c r="AD79" s="12"/>
      <c r="AE79" s="12"/>
      <c r="AF79" s="12"/>
      <c r="AG79" s="12"/>
      <c r="AH79" s="12"/>
      <c r="AI79" s="12"/>
      <c r="AJ79" s="12"/>
      <c r="AK79" s="13">
        <f>AK76-$AA$61</f>
        <v>140.19237886466843</v>
      </c>
      <c r="AL79" s="12"/>
      <c r="AM79" s="12"/>
      <c r="AN79" s="12"/>
      <c r="AO79" s="12"/>
      <c r="AP79" s="12"/>
      <c r="AQ79" s="12"/>
      <c r="AR79" s="12"/>
      <c r="AS79" s="12"/>
      <c r="AT79" s="12"/>
      <c r="AU79" s="12">
        <f t="shared" ref="AU79" si="2">AU76+$AA$55*1.5</f>
        <v>225</v>
      </c>
      <c r="AV79" s="12"/>
      <c r="AW79" s="12"/>
      <c r="AX79" s="12"/>
      <c r="AY79" s="12"/>
      <c r="AZ79" s="12"/>
      <c r="BA79" s="12"/>
      <c r="BB79" s="12"/>
      <c r="BC79" s="12"/>
      <c r="BD79" s="12"/>
    </row>
    <row r="80" spans="17:56" ht="7.5" customHeight="1" x14ac:dyDescent="0.25"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17:56" ht="7.5" customHeight="1" x14ac:dyDescent="0.25"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</row>
    <row r="82" spans="17:56" ht="7.5" customHeight="1" x14ac:dyDescent="0.25"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>
        <v>10</v>
      </c>
      <c r="AB82" s="10"/>
      <c r="AC82" s="10"/>
      <c r="AD82" s="10"/>
      <c r="AE82" s="10"/>
      <c r="AF82" s="10"/>
      <c r="AG82" s="10"/>
      <c r="AH82" s="10"/>
      <c r="AI82" s="10"/>
      <c r="AJ82" s="10"/>
      <c r="AK82" s="11">
        <f>AK76</f>
        <v>166.17314097820159</v>
      </c>
      <c r="AL82" s="10"/>
      <c r="AM82" s="10"/>
      <c r="AN82" s="10"/>
      <c r="AO82" s="10"/>
      <c r="AP82" s="10"/>
      <c r="AQ82" s="10"/>
      <c r="AR82" s="10"/>
      <c r="AS82" s="10"/>
      <c r="AT82" s="10"/>
      <c r="AU82" s="10">
        <f t="shared" ref="AU82" si="3">AU79+$AA$55*1.5</f>
        <v>270</v>
      </c>
      <c r="AV82" s="10"/>
      <c r="AW82" s="10"/>
      <c r="AX82" s="10"/>
      <c r="AY82" s="10"/>
      <c r="AZ82" s="10"/>
      <c r="BA82" s="10"/>
      <c r="BB82" s="10"/>
      <c r="BC82" s="10"/>
      <c r="BD82" s="10"/>
    </row>
    <row r="83" spans="17:56" ht="7.5" customHeight="1" x14ac:dyDescent="0.25"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</row>
    <row r="84" spans="17:56" ht="7.5" customHeight="1" x14ac:dyDescent="0.25"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</row>
    <row r="85" spans="17:56" ht="7.5" customHeight="1" x14ac:dyDescent="0.25"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>
        <v>9</v>
      </c>
      <c r="AB85" s="10"/>
      <c r="AC85" s="10"/>
      <c r="AD85" s="10"/>
      <c r="AE85" s="10"/>
      <c r="AF85" s="10"/>
      <c r="AG85" s="10"/>
      <c r="AH85" s="10"/>
      <c r="AI85" s="10"/>
      <c r="AJ85" s="10"/>
      <c r="AK85" s="11">
        <f>AK73</f>
        <v>192.15390309173475</v>
      </c>
      <c r="AL85" s="10"/>
      <c r="AM85" s="10"/>
      <c r="AN85" s="10"/>
      <c r="AO85" s="10"/>
      <c r="AP85" s="10"/>
      <c r="AQ85" s="10"/>
      <c r="AR85" s="10"/>
      <c r="AS85" s="10"/>
      <c r="AT85" s="10"/>
      <c r="AU85" s="10">
        <f t="shared" ref="AU85" si="4">AU82+$AA$55*1.5</f>
        <v>315</v>
      </c>
      <c r="AV85" s="10"/>
      <c r="AW85" s="10"/>
      <c r="AX85" s="10"/>
      <c r="AY85" s="10"/>
      <c r="AZ85" s="10"/>
      <c r="BA85" s="10"/>
      <c r="BB85" s="10"/>
      <c r="BC85" s="10"/>
      <c r="BD85" s="10"/>
    </row>
    <row r="86" spans="17:56" ht="7.5" customHeight="1" x14ac:dyDescent="0.25"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</row>
    <row r="87" spans="17:56" ht="7.5" customHeight="1" x14ac:dyDescent="0.25"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</row>
    <row r="88" spans="17:56" ht="7.5" customHeight="1" x14ac:dyDescent="0.25"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>
        <v>8</v>
      </c>
      <c r="AB88" s="10"/>
      <c r="AC88" s="10"/>
      <c r="AD88" s="10"/>
      <c r="AE88" s="10"/>
      <c r="AF88" s="10"/>
      <c r="AG88" s="10"/>
      <c r="AH88" s="10"/>
      <c r="AI88" s="10"/>
      <c r="AJ88" s="10"/>
      <c r="AK88" s="11">
        <f>AK70</f>
        <v>218.13466520526791</v>
      </c>
      <c r="AL88" s="10"/>
      <c r="AM88" s="10"/>
      <c r="AN88" s="10"/>
      <c r="AO88" s="10"/>
      <c r="AP88" s="10"/>
      <c r="AQ88" s="10"/>
      <c r="AR88" s="10"/>
      <c r="AS88" s="10"/>
      <c r="AT88" s="10"/>
      <c r="AU88" s="10">
        <f t="shared" ref="AU88" si="5">AU85+$AA$55*1.5</f>
        <v>360</v>
      </c>
      <c r="AV88" s="10"/>
      <c r="AW88" s="10"/>
      <c r="AX88" s="10"/>
      <c r="AY88" s="10"/>
      <c r="AZ88" s="10"/>
      <c r="BA88" s="10"/>
      <c r="BB88" s="10"/>
      <c r="BC88" s="10"/>
      <c r="BD88" s="10"/>
    </row>
    <row r="89" spans="17:56" ht="7.5" customHeight="1" x14ac:dyDescent="0.25"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</row>
    <row r="90" spans="17:56" ht="7.5" customHeight="1" x14ac:dyDescent="0.25"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</row>
    <row r="91" spans="17:56" ht="7.5" customHeight="1" x14ac:dyDescent="0.25"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>
        <v>7</v>
      </c>
      <c r="AB91" s="10"/>
      <c r="AC91" s="10"/>
      <c r="AD91" s="10"/>
      <c r="AE91" s="10"/>
      <c r="AF91" s="10"/>
      <c r="AG91" s="10"/>
      <c r="AH91" s="10"/>
      <c r="AI91" s="10"/>
      <c r="AJ91" s="10"/>
      <c r="AK91" s="10">
        <f>AK67</f>
        <v>244.11542731880107</v>
      </c>
      <c r="AL91" s="10"/>
      <c r="AM91" s="10"/>
      <c r="AN91" s="10"/>
      <c r="AO91" s="10"/>
      <c r="AP91" s="10"/>
      <c r="AQ91" s="10"/>
      <c r="AR91" s="10"/>
      <c r="AS91" s="10"/>
      <c r="AT91" s="10"/>
      <c r="AU91" s="10">
        <f t="shared" ref="AU91" si="6">AU88+$AA$55*1.5</f>
        <v>405</v>
      </c>
      <c r="AV91" s="10"/>
      <c r="AW91" s="10"/>
      <c r="AX91" s="10"/>
      <c r="AY91" s="10"/>
      <c r="AZ91" s="10"/>
      <c r="BA91" s="10"/>
      <c r="BB91" s="10"/>
      <c r="BC91" s="10"/>
      <c r="BD91" s="10"/>
    </row>
    <row r="92" spans="17:56" ht="7.5" customHeight="1" x14ac:dyDescent="0.25"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</row>
    <row r="93" spans="17:56" ht="7.5" customHeight="1" x14ac:dyDescent="0.25"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</row>
    <row r="94" spans="17:56" ht="7.5" customHeight="1" x14ac:dyDescent="0.25"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</row>
    <row r="95" spans="17:56" ht="7.5" customHeight="1" x14ac:dyDescent="0.25"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</row>
    <row r="96" spans="17:56" ht="7.5" customHeight="1" x14ac:dyDescent="0.25"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</row>
  </sheetData>
  <mergeCells count="56">
    <mergeCell ref="AU91:BD93"/>
    <mergeCell ref="AU94:BD96"/>
    <mergeCell ref="AU73:BD75"/>
    <mergeCell ref="AU76:BD78"/>
    <mergeCell ref="AU79:BD81"/>
    <mergeCell ref="AU82:BD84"/>
    <mergeCell ref="AU85:BD87"/>
    <mergeCell ref="AU88:BD90"/>
    <mergeCell ref="AU55:BD57"/>
    <mergeCell ref="AU58:BD60"/>
    <mergeCell ref="AU61:BD63"/>
    <mergeCell ref="AU64:BD66"/>
    <mergeCell ref="AU67:BD69"/>
    <mergeCell ref="AU70:BD72"/>
    <mergeCell ref="Q91:Z93"/>
    <mergeCell ref="AA91:AJ93"/>
    <mergeCell ref="AK91:AT93"/>
    <mergeCell ref="Q94:Z96"/>
    <mergeCell ref="AA94:AJ96"/>
    <mergeCell ref="AK94:AT96"/>
    <mergeCell ref="Q85:Z87"/>
    <mergeCell ref="AA85:AJ87"/>
    <mergeCell ref="AK85:AT87"/>
    <mergeCell ref="Q88:Z90"/>
    <mergeCell ref="AA88:AJ90"/>
    <mergeCell ref="AK88:AT90"/>
    <mergeCell ref="Q79:Z81"/>
    <mergeCell ref="AA79:AJ81"/>
    <mergeCell ref="AK79:AT81"/>
    <mergeCell ref="Q82:Z84"/>
    <mergeCell ref="AA82:AJ84"/>
    <mergeCell ref="AK82:AT84"/>
    <mergeCell ref="Q73:Z75"/>
    <mergeCell ref="AA73:AJ75"/>
    <mergeCell ref="AK73:AT75"/>
    <mergeCell ref="Q76:Z78"/>
    <mergeCell ref="AA76:AJ78"/>
    <mergeCell ref="AK76:AT78"/>
    <mergeCell ref="AK55:AT57"/>
    <mergeCell ref="AK58:AT60"/>
    <mergeCell ref="AK61:AT63"/>
    <mergeCell ref="AK64:AT66"/>
    <mergeCell ref="AK67:AT69"/>
    <mergeCell ref="AK70:AT72"/>
    <mergeCell ref="AA55:AJ57"/>
    <mergeCell ref="AA58:AJ60"/>
    <mergeCell ref="AA61:AJ63"/>
    <mergeCell ref="AA64:AJ66"/>
    <mergeCell ref="AA67:AJ69"/>
    <mergeCell ref="AA70:AJ72"/>
    <mergeCell ref="Q55:Z57"/>
    <mergeCell ref="Q58:Z60"/>
    <mergeCell ref="Q61:Z63"/>
    <mergeCell ref="Q64:Z66"/>
    <mergeCell ref="Q67:Z69"/>
    <mergeCell ref="Q70:Z7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A1F9E-E529-43BA-B043-BFE59E89FE29}">
  <sheetPr codeName="Лист2"/>
  <dimension ref="I2:CJ54"/>
  <sheetViews>
    <sheetView zoomScaleNormal="100" workbookViewId="0">
      <selection activeCell="CW25" sqref="CW25"/>
    </sheetView>
  </sheetViews>
  <sheetFormatPr defaultColWidth="1.42578125" defaultRowHeight="7.5" customHeight="1" x14ac:dyDescent="0.25"/>
  <sheetData>
    <row r="2" spans="9:88" ht="7.5" customHeight="1" x14ac:dyDescent="0.25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7" spans="9:88" ht="7.5" customHeight="1" x14ac:dyDescent="0.25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9:88" ht="7.5" customHeight="1" x14ac:dyDescent="0.25"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</row>
    <row r="9" spans="9:88" ht="7.5" customHeight="1" x14ac:dyDescent="0.25">
      <c r="I9" s="14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6"/>
    </row>
    <row r="10" spans="9:88" ht="7.5" customHeight="1" x14ac:dyDescent="0.25">
      <c r="I10" s="17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9"/>
    </row>
    <row r="11" spans="9:88" ht="7.5" customHeight="1" x14ac:dyDescent="0.25">
      <c r="I11" s="17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9"/>
    </row>
    <row r="12" spans="9:88" ht="7.5" customHeight="1" x14ac:dyDescent="0.25">
      <c r="I12" s="17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9"/>
    </row>
    <row r="13" spans="9:88" ht="7.5" customHeight="1" x14ac:dyDescent="0.25">
      <c r="I13" s="17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9"/>
    </row>
    <row r="14" spans="9:88" ht="7.5" customHeight="1" x14ac:dyDescent="0.25">
      <c r="I14" s="17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9"/>
    </row>
    <row r="15" spans="9:88" ht="7.5" customHeight="1" x14ac:dyDescent="0.25">
      <c r="I15" s="17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9"/>
    </row>
    <row r="16" spans="9:88" ht="7.5" customHeight="1" x14ac:dyDescent="0.25">
      <c r="I16" s="17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9"/>
    </row>
    <row r="17" spans="9:88" ht="7.5" customHeight="1" x14ac:dyDescent="0.25">
      <c r="I17" s="17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9"/>
    </row>
    <row r="18" spans="9:88" ht="7.5" customHeight="1" x14ac:dyDescent="0.25">
      <c r="I18" s="17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9"/>
    </row>
    <row r="19" spans="9:88" ht="7.5" customHeight="1" x14ac:dyDescent="0.25">
      <c r="I19" s="17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9"/>
    </row>
    <row r="20" spans="9:88" ht="7.5" customHeight="1" x14ac:dyDescent="0.25">
      <c r="I20" s="17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9"/>
    </row>
    <row r="21" spans="9:88" ht="7.5" customHeight="1" x14ac:dyDescent="0.25">
      <c r="I21" s="17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9"/>
    </row>
    <row r="22" spans="9:88" ht="7.5" customHeight="1" x14ac:dyDescent="0.25">
      <c r="I22" s="17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9"/>
    </row>
    <row r="23" spans="9:88" ht="7.5" customHeight="1" x14ac:dyDescent="0.25">
      <c r="I23" s="17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9"/>
    </row>
    <row r="24" spans="9:88" ht="7.5" customHeight="1" x14ac:dyDescent="0.25">
      <c r="I24" s="17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9"/>
    </row>
    <row r="25" spans="9:88" ht="7.5" customHeight="1" x14ac:dyDescent="0.25">
      <c r="I25" s="17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9"/>
    </row>
    <row r="26" spans="9:88" ht="7.5" customHeight="1" x14ac:dyDescent="0.25">
      <c r="I26" s="17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9"/>
    </row>
    <row r="27" spans="9:88" ht="7.5" customHeight="1" x14ac:dyDescent="0.25">
      <c r="I27" s="17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9"/>
    </row>
    <row r="28" spans="9:88" ht="7.5" customHeight="1" x14ac:dyDescent="0.25">
      <c r="I28" s="17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9"/>
    </row>
    <row r="29" spans="9:88" ht="7.5" customHeight="1" x14ac:dyDescent="0.25">
      <c r="I29" s="17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9"/>
    </row>
    <row r="30" spans="9:88" ht="7.5" customHeight="1" x14ac:dyDescent="0.25">
      <c r="I30" s="17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9"/>
    </row>
    <row r="31" spans="9:88" ht="7.5" customHeight="1" x14ac:dyDescent="0.25">
      <c r="I31" s="17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9"/>
    </row>
    <row r="32" spans="9:88" ht="7.5" customHeight="1" x14ac:dyDescent="0.25">
      <c r="I32" s="17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9"/>
    </row>
    <row r="33" spans="9:88" ht="7.5" customHeight="1" x14ac:dyDescent="0.25">
      <c r="I33" s="17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9"/>
    </row>
    <row r="34" spans="9:88" ht="7.5" customHeight="1" x14ac:dyDescent="0.25">
      <c r="I34" s="17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9"/>
    </row>
    <row r="35" spans="9:88" ht="7.5" customHeight="1" x14ac:dyDescent="0.25">
      <c r="I35" s="17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9"/>
    </row>
    <row r="36" spans="9:88" ht="7.5" customHeight="1" x14ac:dyDescent="0.25">
      <c r="I36" s="17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9"/>
    </row>
    <row r="37" spans="9:88" ht="7.5" customHeight="1" x14ac:dyDescent="0.25">
      <c r="I37" s="17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9"/>
    </row>
    <row r="38" spans="9:88" ht="7.5" customHeight="1" x14ac:dyDescent="0.25">
      <c r="I38" s="17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9"/>
    </row>
    <row r="39" spans="9:88" ht="7.5" customHeight="1" x14ac:dyDescent="0.25">
      <c r="I39" s="17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9"/>
    </row>
    <row r="40" spans="9:88" ht="7.5" customHeight="1" x14ac:dyDescent="0.25">
      <c r="I40" s="17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9"/>
    </row>
    <row r="41" spans="9:88" ht="7.5" customHeight="1" x14ac:dyDescent="0.25">
      <c r="I41" s="17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9"/>
    </row>
    <row r="42" spans="9:88" ht="7.5" customHeight="1" x14ac:dyDescent="0.25">
      <c r="I42" s="17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9"/>
    </row>
    <row r="43" spans="9:88" ht="7.5" customHeight="1" x14ac:dyDescent="0.25"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9"/>
    </row>
    <row r="44" spans="9:88" ht="7.5" customHeight="1" x14ac:dyDescent="0.25">
      <c r="I44" s="17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9"/>
    </row>
    <row r="45" spans="9:88" ht="7.5" customHeight="1" x14ac:dyDescent="0.25">
      <c r="I45" s="17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9"/>
    </row>
    <row r="46" spans="9:88" ht="7.5" customHeight="1" x14ac:dyDescent="0.25">
      <c r="I46" s="17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9"/>
    </row>
    <row r="47" spans="9:88" ht="7.5" customHeight="1" x14ac:dyDescent="0.25">
      <c r="I47" s="17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9"/>
    </row>
    <row r="48" spans="9:88" ht="7.5" customHeight="1" x14ac:dyDescent="0.25">
      <c r="I48" s="17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9"/>
    </row>
    <row r="49" spans="9:88" ht="7.5" customHeight="1" x14ac:dyDescent="0.25">
      <c r="I49" s="17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9"/>
    </row>
    <row r="50" spans="9:88" ht="7.5" customHeight="1" x14ac:dyDescent="0.25">
      <c r="I50" s="17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9"/>
    </row>
    <row r="51" spans="9:88" ht="7.5" customHeight="1" x14ac:dyDescent="0.25">
      <c r="I51" s="17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9"/>
    </row>
    <row r="52" spans="9:88" ht="7.5" customHeight="1" x14ac:dyDescent="0.25">
      <c r="I52" s="17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9"/>
    </row>
    <row r="53" spans="9:88" ht="7.5" customHeight="1" x14ac:dyDescent="0.25">
      <c r="I53" s="20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2"/>
    </row>
    <row r="54" spans="9:88" ht="7.5" customHeight="1" x14ac:dyDescent="0.25"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4A78-1B8E-4FAD-AC44-3F6060362AA5}">
  <sheetPr codeName="Лист4"/>
  <dimension ref="I2:CJ54"/>
  <sheetViews>
    <sheetView zoomScaleNormal="100" workbookViewId="0">
      <selection activeCell="DK59" sqref="DK58:DK59"/>
    </sheetView>
  </sheetViews>
  <sheetFormatPr defaultColWidth="1.42578125" defaultRowHeight="7.5" customHeight="1" x14ac:dyDescent="0.25"/>
  <sheetData>
    <row r="2" spans="9:88" ht="7.5" customHeight="1" x14ac:dyDescent="0.25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7" spans="9:88" ht="7.5" customHeight="1" x14ac:dyDescent="0.25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9:88" ht="7.5" customHeight="1" x14ac:dyDescent="0.25"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</row>
    <row r="9" spans="9:88" ht="7.5" customHeight="1" x14ac:dyDescent="0.25">
      <c r="I9" s="14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6"/>
    </row>
    <row r="10" spans="9:88" ht="7.5" customHeight="1" x14ac:dyDescent="0.25">
      <c r="I10" s="17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9"/>
    </row>
    <row r="11" spans="9:88" ht="7.5" customHeight="1" x14ac:dyDescent="0.25">
      <c r="I11" s="17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9"/>
    </row>
    <row r="12" spans="9:88" ht="7.5" customHeight="1" x14ac:dyDescent="0.25">
      <c r="I12" s="17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9"/>
    </row>
    <row r="13" spans="9:88" ht="7.5" customHeight="1" x14ac:dyDescent="0.25">
      <c r="I13" s="17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9"/>
    </row>
    <row r="14" spans="9:88" ht="7.5" customHeight="1" x14ac:dyDescent="0.25">
      <c r="I14" s="17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9"/>
    </row>
    <row r="15" spans="9:88" ht="7.5" customHeight="1" x14ac:dyDescent="0.25">
      <c r="I15" s="17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9"/>
    </row>
    <row r="16" spans="9:88" ht="7.5" customHeight="1" x14ac:dyDescent="0.25">
      <c r="I16" s="17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9"/>
    </row>
    <row r="17" spans="9:88" ht="7.5" customHeight="1" x14ac:dyDescent="0.25">
      <c r="I17" s="17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9"/>
    </row>
    <row r="18" spans="9:88" ht="7.5" customHeight="1" x14ac:dyDescent="0.25">
      <c r="I18" s="17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9"/>
    </row>
    <row r="19" spans="9:88" ht="7.5" customHeight="1" x14ac:dyDescent="0.25">
      <c r="I19" s="17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9"/>
    </row>
    <row r="20" spans="9:88" ht="7.5" customHeight="1" x14ac:dyDescent="0.25">
      <c r="I20" s="17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9"/>
    </row>
    <row r="21" spans="9:88" ht="7.5" customHeight="1" x14ac:dyDescent="0.25">
      <c r="I21" s="17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9"/>
    </row>
    <row r="22" spans="9:88" ht="7.5" customHeight="1" x14ac:dyDescent="0.25">
      <c r="I22" s="17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9"/>
    </row>
    <row r="23" spans="9:88" ht="7.5" customHeight="1" x14ac:dyDescent="0.25">
      <c r="I23" s="17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9"/>
    </row>
    <row r="24" spans="9:88" ht="7.5" customHeight="1" x14ac:dyDescent="0.25">
      <c r="I24" s="17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9"/>
    </row>
    <row r="25" spans="9:88" ht="7.5" customHeight="1" x14ac:dyDescent="0.25">
      <c r="I25" s="17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9"/>
    </row>
    <row r="26" spans="9:88" ht="7.5" customHeight="1" x14ac:dyDescent="0.25">
      <c r="I26" s="17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9"/>
    </row>
    <row r="27" spans="9:88" ht="7.5" customHeight="1" x14ac:dyDescent="0.25">
      <c r="I27" s="17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9"/>
    </row>
    <row r="28" spans="9:88" ht="7.5" customHeight="1" x14ac:dyDescent="0.25">
      <c r="I28" s="17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9"/>
    </row>
    <row r="29" spans="9:88" ht="7.5" customHeight="1" x14ac:dyDescent="0.25">
      <c r="I29" s="17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9"/>
    </row>
    <row r="30" spans="9:88" ht="7.5" customHeight="1" x14ac:dyDescent="0.25">
      <c r="I30" s="17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9"/>
    </row>
    <row r="31" spans="9:88" ht="7.5" customHeight="1" x14ac:dyDescent="0.25">
      <c r="I31" s="17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9"/>
    </row>
    <row r="32" spans="9:88" ht="7.5" customHeight="1" x14ac:dyDescent="0.25">
      <c r="I32" s="17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9"/>
    </row>
    <row r="33" spans="9:88" ht="7.5" customHeight="1" x14ac:dyDescent="0.25">
      <c r="I33" s="17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9"/>
    </row>
    <row r="34" spans="9:88" ht="7.5" customHeight="1" x14ac:dyDescent="0.25">
      <c r="I34" s="17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9"/>
    </row>
    <row r="35" spans="9:88" ht="7.5" customHeight="1" x14ac:dyDescent="0.25">
      <c r="I35" s="17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9"/>
    </row>
    <row r="36" spans="9:88" ht="7.5" customHeight="1" x14ac:dyDescent="0.25">
      <c r="I36" s="17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9"/>
    </row>
    <row r="37" spans="9:88" ht="7.5" customHeight="1" x14ac:dyDescent="0.25">
      <c r="I37" s="17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9"/>
    </row>
    <row r="38" spans="9:88" ht="7.5" customHeight="1" x14ac:dyDescent="0.25">
      <c r="I38" s="17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9"/>
    </row>
    <row r="39" spans="9:88" ht="7.5" customHeight="1" x14ac:dyDescent="0.25">
      <c r="I39" s="17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9"/>
    </row>
    <row r="40" spans="9:88" ht="7.5" customHeight="1" x14ac:dyDescent="0.25">
      <c r="I40" s="17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9"/>
    </row>
    <row r="41" spans="9:88" ht="7.5" customHeight="1" x14ac:dyDescent="0.25">
      <c r="I41" s="17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9"/>
    </row>
    <row r="42" spans="9:88" ht="7.5" customHeight="1" x14ac:dyDescent="0.25">
      <c r="I42" s="17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9"/>
    </row>
    <row r="43" spans="9:88" ht="7.5" customHeight="1" x14ac:dyDescent="0.25"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9"/>
    </row>
    <row r="44" spans="9:88" ht="7.5" customHeight="1" x14ac:dyDescent="0.25">
      <c r="I44" s="17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9"/>
    </row>
    <row r="45" spans="9:88" ht="7.5" customHeight="1" x14ac:dyDescent="0.25">
      <c r="I45" s="17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9"/>
    </row>
    <row r="46" spans="9:88" ht="7.5" customHeight="1" x14ac:dyDescent="0.25">
      <c r="I46" s="17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9"/>
    </row>
    <row r="47" spans="9:88" ht="7.5" customHeight="1" x14ac:dyDescent="0.25">
      <c r="I47" s="17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9"/>
    </row>
    <row r="48" spans="9:88" ht="7.5" customHeight="1" x14ac:dyDescent="0.25">
      <c r="I48" s="17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9"/>
    </row>
    <row r="49" spans="9:88" ht="7.5" customHeight="1" x14ac:dyDescent="0.25">
      <c r="I49" s="17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9"/>
    </row>
    <row r="50" spans="9:88" ht="7.5" customHeight="1" x14ac:dyDescent="0.25">
      <c r="I50" s="17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9"/>
    </row>
    <row r="51" spans="9:88" ht="7.5" customHeight="1" x14ac:dyDescent="0.25">
      <c r="I51" s="17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9"/>
    </row>
    <row r="52" spans="9:88" ht="7.5" customHeight="1" x14ac:dyDescent="0.25">
      <c r="I52" s="17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9"/>
    </row>
    <row r="53" spans="9:88" ht="7.5" customHeight="1" x14ac:dyDescent="0.25">
      <c r="I53" s="20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2"/>
    </row>
    <row r="54" spans="9:88" ht="7.5" customHeight="1" x14ac:dyDescent="0.25"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E616-B69C-411F-9F9D-034F79C51E07}">
  <sheetPr codeName="Лист6"/>
  <dimension ref="I2:CJ54"/>
  <sheetViews>
    <sheetView zoomScaleNormal="100" workbookViewId="0">
      <selection activeCell="DI30" sqref="DI30"/>
    </sheetView>
  </sheetViews>
  <sheetFormatPr defaultColWidth="1.42578125" defaultRowHeight="7.5" customHeight="1" x14ac:dyDescent="0.25"/>
  <sheetData>
    <row r="2" spans="9:88" ht="7.5" customHeight="1" x14ac:dyDescent="0.25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7" spans="9:88" ht="7.5" customHeight="1" x14ac:dyDescent="0.25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9:88" ht="7.5" customHeight="1" x14ac:dyDescent="0.25"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</row>
    <row r="9" spans="9:88" ht="7.5" customHeight="1" x14ac:dyDescent="0.25">
      <c r="I9" s="14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6"/>
    </row>
    <row r="10" spans="9:88" ht="7.5" customHeight="1" x14ac:dyDescent="0.25">
      <c r="I10" s="17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9"/>
    </row>
    <row r="11" spans="9:88" ht="7.5" customHeight="1" x14ac:dyDescent="0.25">
      <c r="I11" s="17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9"/>
    </row>
    <row r="12" spans="9:88" ht="7.5" customHeight="1" x14ac:dyDescent="0.25">
      <c r="I12" s="17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9"/>
    </row>
    <row r="13" spans="9:88" ht="7.5" customHeight="1" x14ac:dyDescent="0.25">
      <c r="I13" s="17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9"/>
    </row>
    <row r="14" spans="9:88" ht="7.5" customHeight="1" x14ac:dyDescent="0.25">
      <c r="I14" s="17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9"/>
    </row>
    <row r="15" spans="9:88" ht="7.5" customHeight="1" x14ac:dyDescent="0.25">
      <c r="I15" s="17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9"/>
    </row>
    <row r="16" spans="9:88" ht="7.5" customHeight="1" x14ac:dyDescent="0.25">
      <c r="I16" s="17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9"/>
    </row>
    <row r="17" spans="9:88" ht="7.5" customHeight="1" x14ac:dyDescent="0.25">
      <c r="I17" s="17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9"/>
    </row>
    <row r="18" spans="9:88" ht="7.5" customHeight="1" x14ac:dyDescent="0.25">
      <c r="I18" s="17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9"/>
    </row>
    <row r="19" spans="9:88" ht="7.5" customHeight="1" x14ac:dyDescent="0.25">
      <c r="I19" s="17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9"/>
    </row>
    <row r="20" spans="9:88" ht="7.5" customHeight="1" x14ac:dyDescent="0.25">
      <c r="I20" s="17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9"/>
    </row>
    <row r="21" spans="9:88" ht="7.5" customHeight="1" x14ac:dyDescent="0.25">
      <c r="I21" s="17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9"/>
    </row>
    <row r="22" spans="9:88" ht="7.5" customHeight="1" x14ac:dyDescent="0.25">
      <c r="I22" s="17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9"/>
    </row>
    <row r="23" spans="9:88" ht="7.5" customHeight="1" x14ac:dyDescent="0.25">
      <c r="I23" s="17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9"/>
    </row>
    <row r="24" spans="9:88" ht="7.5" customHeight="1" x14ac:dyDescent="0.25">
      <c r="I24" s="17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9"/>
    </row>
    <row r="25" spans="9:88" ht="7.5" customHeight="1" x14ac:dyDescent="0.25">
      <c r="I25" s="17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9"/>
    </row>
    <row r="26" spans="9:88" ht="7.5" customHeight="1" x14ac:dyDescent="0.25">
      <c r="I26" s="17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9"/>
    </row>
    <row r="27" spans="9:88" ht="7.5" customHeight="1" x14ac:dyDescent="0.25">
      <c r="I27" s="17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9"/>
    </row>
    <row r="28" spans="9:88" ht="7.5" customHeight="1" x14ac:dyDescent="0.25">
      <c r="I28" s="17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9"/>
    </row>
    <row r="29" spans="9:88" ht="7.5" customHeight="1" x14ac:dyDescent="0.25">
      <c r="I29" s="17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9"/>
    </row>
    <row r="30" spans="9:88" ht="7.5" customHeight="1" x14ac:dyDescent="0.25">
      <c r="I30" s="17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9"/>
    </row>
    <row r="31" spans="9:88" ht="7.5" customHeight="1" x14ac:dyDescent="0.25">
      <c r="I31" s="17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9"/>
    </row>
    <row r="32" spans="9:88" ht="7.5" customHeight="1" x14ac:dyDescent="0.25">
      <c r="I32" s="17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9"/>
    </row>
    <row r="33" spans="9:88" ht="7.5" customHeight="1" x14ac:dyDescent="0.25">
      <c r="I33" s="17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9"/>
    </row>
    <row r="34" spans="9:88" ht="7.5" customHeight="1" x14ac:dyDescent="0.25">
      <c r="I34" s="17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9"/>
    </row>
    <row r="35" spans="9:88" ht="7.5" customHeight="1" x14ac:dyDescent="0.25">
      <c r="I35" s="17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9"/>
    </row>
    <row r="36" spans="9:88" ht="7.5" customHeight="1" x14ac:dyDescent="0.25">
      <c r="I36" s="17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9"/>
    </row>
    <row r="37" spans="9:88" ht="7.5" customHeight="1" x14ac:dyDescent="0.25">
      <c r="I37" s="17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9"/>
    </row>
    <row r="38" spans="9:88" ht="7.5" customHeight="1" x14ac:dyDescent="0.25">
      <c r="I38" s="17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9"/>
    </row>
    <row r="39" spans="9:88" ht="7.5" customHeight="1" x14ac:dyDescent="0.25">
      <c r="I39" s="17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9"/>
    </row>
    <row r="40" spans="9:88" ht="7.5" customHeight="1" x14ac:dyDescent="0.25">
      <c r="I40" s="17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9"/>
    </row>
    <row r="41" spans="9:88" ht="7.5" customHeight="1" x14ac:dyDescent="0.25">
      <c r="I41" s="17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9"/>
    </row>
    <row r="42" spans="9:88" ht="7.5" customHeight="1" x14ac:dyDescent="0.25">
      <c r="I42" s="17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9"/>
    </row>
    <row r="43" spans="9:88" ht="7.5" customHeight="1" x14ac:dyDescent="0.25"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9"/>
    </row>
    <row r="44" spans="9:88" ht="7.5" customHeight="1" x14ac:dyDescent="0.25">
      <c r="I44" s="17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9"/>
    </row>
    <row r="45" spans="9:88" ht="7.5" customHeight="1" x14ac:dyDescent="0.25">
      <c r="I45" s="17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9"/>
    </row>
    <row r="46" spans="9:88" ht="7.5" customHeight="1" x14ac:dyDescent="0.25">
      <c r="I46" s="17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9"/>
    </row>
    <row r="47" spans="9:88" ht="7.5" customHeight="1" x14ac:dyDescent="0.25">
      <c r="I47" s="17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9"/>
    </row>
    <row r="48" spans="9:88" ht="7.5" customHeight="1" x14ac:dyDescent="0.25">
      <c r="I48" s="17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9"/>
    </row>
    <row r="49" spans="9:88" ht="7.5" customHeight="1" x14ac:dyDescent="0.25">
      <c r="I49" s="17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9"/>
    </row>
    <row r="50" spans="9:88" ht="7.5" customHeight="1" x14ac:dyDescent="0.25">
      <c r="I50" s="17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9"/>
    </row>
    <row r="51" spans="9:88" ht="7.5" customHeight="1" x14ac:dyDescent="0.25">
      <c r="I51" s="17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9"/>
    </row>
    <row r="52" spans="9:88" ht="7.5" customHeight="1" x14ac:dyDescent="0.25">
      <c r="I52" s="17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9"/>
    </row>
    <row r="53" spans="9:88" ht="7.5" customHeight="1" x14ac:dyDescent="0.25">
      <c r="I53" s="20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2"/>
    </row>
    <row r="54" spans="9:88" ht="7.5" customHeight="1" x14ac:dyDescent="0.25"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0BE06-1E21-4D00-A22B-E72D9AAA7431}">
  <sheetPr codeName="Лист7"/>
  <dimension ref="I2:CJ54"/>
  <sheetViews>
    <sheetView zoomScaleNormal="100" workbookViewId="0">
      <selection activeCell="CX40" sqref="CX40"/>
    </sheetView>
  </sheetViews>
  <sheetFormatPr defaultColWidth="1.42578125" defaultRowHeight="7.5" customHeight="1" x14ac:dyDescent="0.25"/>
  <sheetData>
    <row r="2" spans="9:88" ht="7.5" customHeight="1" x14ac:dyDescent="0.25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7" spans="9:88" ht="7.5" customHeight="1" x14ac:dyDescent="0.25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9:88" ht="7.5" customHeight="1" x14ac:dyDescent="0.25"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</row>
    <row r="9" spans="9:88" ht="7.5" customHeight="1" x14ac:dyDescent="0.25">
      <c r="I9" s="14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6"/>
    </row>
    <row r="10" spans="9:88" ht="7.5" customHeight="1" x14ac:dyDescent="0.25">
      <c r="I10" s="17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9"/>
    </row>
    <row r="11" spans="9:88" ht="7.5" customHeight="1" x14ac:dyDescent="0.25">
      <c r="I11" s="17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9"/>
    </row>
    <row r="12" spans="9:88" ht="7.5" customHeight="1" x14ac:dyDescent="0.25">
      <c r="I12" s="17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9"/>
    </row>
    <row r="13" spans="9:88" ht="7.5" customHeight="1" x14ac:dyDescent="0.25">
      <c r="I13" s="17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9"/>
    </row>
    <row r="14" spans="9:88" ht="7.5" customHeight="1" x14ac:dyDescent="0.25">
      <c r="I14" s="17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9"/>
    </row>
    <row r="15" spans="9:88" ht="7.5" customHeight="1" x14ac:dyDescent="0.25">
      <c r="I15" s="17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9"/>
    </row>
    <row r="16" spans="9:88" ht="7.5" customHeight="1" x14ac:dyDescent="0.25">
      <c r="I16" s="17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9"/>
    </row>
    <row r="17" spans="9:88" ht="7.5" customHeight="1" x14ac:dyDescent="0.25">
      <c r="I17" s="17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9"/>
    </row>
    <row r="18" spans="9:88" ht="7.5" customHeight="1" x14ac:dyDescent="0.25">
      <c r="I18" s="17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9"/>
    </row>
    <row r="19" spans="9:88" ht="7.5" customHeight="1" x14ac:dyDescent="0.25">
      <c r="I19" s="17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9"/>
    </row>
    <row r="20" spans="9:88" ht="7.5" customHeight="1" x14ac:dyDescent="0.25">
      <c r="I20" s="17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9"/>
    </row>
    <row r="21" spans="9:88" ht="7.5" customHeight="1" x14ac:dyDescent="0.25">
      <c r="I21" s="17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9"/>
    </row>
    <row r="22" spans="9:88" ht="7.5" customHeight="1" x14ac:dyDescent="0.25">
      <c r="I22" s="17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9"/>
    </row>
    <row r="23" spans="9:88" ht="7.5" customHeight="1" x14ac:dyDescent="0.25">
      <c r="I23" s="17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9"/>
    </row>
    <row r="24" spans="9:88" ht="7.5" customHeight="1" x14ac:dyDescent="0.25">
      <c r="I24" s="17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9"/>
    </row>
    <row r="25" spans="9:88" ht="7.5" customHeight="1" x14ac:dyDescent="0.25">
      <c r="I25" s="17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9"/>
    </row>
    <row r="26" spans="9:88" ht="7.5" customHeight="1" x14ac:dyDescent="0.25">
      <c r="I26" s="17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9"/>
    </row>
    <row r="27" spans="9:88" ht="7.5" customHeight="1" x14ac:dyDescent="0.25">
      <c r="I27" s="17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9"/>
    </row>
    <row r="28" spans="9:88" ht="7.5" customHeight="1" x14ac:dyDescent="0.25">
      <c r="I28" s="17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9"/>
    </row>
    <row r="29" spans="9:88" ht="7.5" customHeight="1" x14ac:dyDescent="0.25">
      <c r="I29" s="17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9"/>
    </row>
    <row r="30" spans="9:88" ht="7.5" customHeight="1" x14ac:dyDescent="0.25">
      <c r="I30" s="17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9"/>
    </row>
    <row r="31" spans="9:88" ht="7.5" customHeight="1" x14ac:dyDescent="0.25">
      <c r="I31" s="17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9"/>
    </row>
    <row r="32" spans="9:88" ht="7.5" customHeight="1" x14ac:dyDescent="0.25">
      <c r="I32" s="17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9"/>
    </row>
    <row r="33" spans="9:88" ht="7.5" customHeight="1" x14ac:dyDescent="0.25">
      <c r="I33" s="17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9"/>
    </row>
    <row r="34" spans="9:88" ht="7.5" customHeight="1" x14ac:dyDescent="0.25">
      <c r="I34" s="17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9"/>
    </row>
    <row r="35" spans="9:88" ht="7.5" customHeight="1" x14ac:dyDescent="0.25">
      <c r="I35" s="17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9"/>
    </row>
    <row r="36" spans="9:88" ht="7.5" customHeight="1" x14ac:dyDescent="0.25">
      <c r="I36" s="17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9"/>
    </row>
    <row r="37" spans="9:88" ht="7.5" customHeight="1" x14ac:dyDescent="0.25">
      <c r="I37" s="17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9"/>
    </row>
    <row r="38" spans="9:88" ht="7.5" customHeight="1" x14ac:dyDescent="0.25">
      <c r="I38" s="17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9"/>
    </row>
    <row r="39" spans="9:88" ht="7.5" customHeight="1" x14ac:dyDescent="0.25">
      <c r="I39" s="17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9"/>
    </row>
    <row r="40" spans="9:88" ht="7.5" customHeight="1" x14ac:dyDescent="0.25">
      <c r="I40" s="17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9"/>
    </row>
    <row r="41" spans="9:88" ht="7.5" customHeight="1" x14ac:dyDescent="0.25">
      <c r="I41" s="17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9"/>
    </row>
    <row r="42" spans="9:88" ht="7.5" customHeight="1" x14ac:dyDescent="0.25">
      <c r="I42" s="17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9"/>
    </row>
    <row r="43" spans="9:88" ht="7.5" customHeight="1" x14ac:dyDescent="0.25"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9"/>
    </row>
    <row r="44" spans="9:88" ht="7.5" customHeight="1" x14ac:dyDescent="0.25">
      <c r="I44" s="17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9"/>
    </row>
    <row r="45" spans="9:88" ht="7.5" customHeight="1" x14ac:dyDescent="0.25">
      <c r="I45" s="17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9"/>
    </row>
    <row r="46" spans="9:88" ht="7.5" customHeight="1" x14ac:dyDescent="0.25">
      <c r="I46" s="17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9"/>
    </row>
    <row r="47" spans="9:88" ht="7.5" customHeight="1" x14ac:dyDescent="0.25">
      <c r="I47" s="17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9"/>
    </row>
    <row r="48" spans="9:88" ht="7.5" customHeight="1" x14ac:dyDescent="0.25">
      <c r="I48" s="17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9"/>
    </row>
    <row r="49" spans="9:88" ht="7.5" customHeight="1" x14ac:dyDescent="0.25">
      <c r="I49" s="17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9"/>
    </row>
    <row r="50" spans="9:88" ht="7.5" customHeight="1" x14ac:dyDescent="0.25">
      <c r="I50" s="17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9"/>
    </row>
    <row r="51" spans="9:88" ht="7.5" customHeight="1" x14ac:dyDescent="0.25">
      <c r="I51" s="17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9"/>
    </row>
    <row r="52" spans="9:88" ht="7.5" customHeight="1" x14ac:dyDescent="0.25">
      <c r="I52" s="17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9"/>
    </row>
    <row r="53" spans="9:88" ht="7.5" customHeight="1" x14ac:dyDescent="0.25">
      <c r="I53" s="20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2"/>
    </row>
    <row r="54" spans="9:88" ht="7.5" customHeight="1" x14ac:dyDescent="0.25"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1</vt:lpstr>
      <vt:lpstr>GRID</vt:lpstr>
      <vt:lpstr>L0</vt:lpstr>
      <vt:lpstr>L1</vt:lpstr>
      <vt:lpstr>L2</vt:lpstr>
      <vt:lpstr>L3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Абдуллаев Камиль Умарович</cp:lastModifiedBy>
  <dcterms:created xsi:type="dcterms:W3CDTF">2020-10-26T13:58:30Z</dcterms:created>
  <dcterms:modified xsi:type="dcterms:W3CDTF">2022-07-07T13:17:32Z</dcterms:modified>
</cp:coreProperties>
</file>